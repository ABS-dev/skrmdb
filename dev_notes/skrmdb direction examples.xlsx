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kent\Documents\CVB Packages\skrmdb-notes\"/>
    </mc:Choice>
  </mc:AlternateContent>
  <xr:revisionPtr revIDLastSave="0" documentId="8_{79E64D25-3AD1-49D7-9661-861EC4C54AAE}" xr6:coauthVersionLast="45" xr6:coauthVersionMax="45" xr10:uidLastSave="{00000000-0000-0000-0000-000000000000}"/>
  <bookViews>
    <workbookView xWindow="-120" yWindow="-120" windowWidth="29040" windowHeight="15840" xr2:uid="{70FDEDBE-F8A5-48B6-9026-06B9BF6AC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1" l="1"/>
  <c r="K6" i="1" s="1"/>
  <c r="K5" i="1" s="1"/>
  <c r="K4" i="1" s="1"/>
  <c r="K3" i="1" s="1"/>
  <c r="K2" i="1" s="1"/>
  <c r="K17" i="1"/>
  <c r="K16" i="1" s="1"/>
  <c r="K15" i="1" s="1"/>
  <c r="K14" i="1" s="1"/>
  <c r="K13" i="1" s="1"/>
  <c r="K12" i="1" s="1"/>
  <c r="J7" i="1"/>
  <c r="J6" i="1"/>
  <c r="J5" i="1"/>
  <c r="J4" i="1"/>
  <c r="J3" i="1"/>
  <c r="L3" i="1" s="1"/>
  <c r="L4" i="1" s="1"/>
  <c r="L5" i="1" s="1"/>
  <c r="L6" i="1" s="1"/>
  <c r="L7" i="1" s="1"/>
  <c r="J2" i="1"/>
  <c r="L2" i="1" s="1"/>
  <c r="J17" i="1"/>
  <c r="J16" i="1"/>
  <c r="J15" i="1"/>
  <c r="J14" i="1"/>
  <c r="J13" i="1"/>
  <c r="J12" i="1"/>
  <c r="L12" i="1" s="1"/>
  <c r="F17" i="1"/>
  <c r="F16" i="1"/>
  <c r="F15" i="1"/>
  <c r="F14" i="1"/>
  <c r="F13" i="1"/>
  <c r="F12" i="1"/>
  <c r="F7" i="1"/>
  <c r="F6" i="1"/>
  <c r="F5" i="1"/>
  <c r="F4" i="1"/>
  <c r="F3" i="1"/>
  <c r="F2" i="1"/>
  <c r="E17" i="1"/>
  <c r="E16" i="1" s="1"/>
  <c r="E15" i="1" s="1"/>
  <c r="E14" i="1" s="1"/>
  <c r="E13" i="1" s="1"/>
  <c r="E12" i="1" s="1"/>
  <c r="D13" i="1"/>
  <c r="D14" i="1" s="1"/>
  <c r="D15" i="1" s="1"/>
  <c r="D16" i="1" s="1"/>
  <c r="D17" i="1" s="1"/>
  <c r="D12" i="1"/>
  <c r="E2" i="1"/>
  <c r="E3" i="1"/>
  <c r="E4" i="1"/>
  <c r="E5" i="1"/>
  <c r="E6" i="1"/>
  <c r="E7" i="1"/>
  <c r="D7" i="1"/>
  <c r="D6" i="1"/>
  <c r="D5" i="1"/>
  <c r="D4" i="1"/>
  <c r="D3" i="1"/>
  <c r="D2" i="1"/>
  <c r="C12" i="1"/>
  <c r="C13" i="1"/>
  <c r="C14" i="1"/>
  <c r="C15" i="1"/>
  <c r="C16" i="1"/>
  <c r="C17" i="1"/>
  <c r="C7" i="1"/>
  <c r="C6" i="1"/>
  <c r="C5" i="1"/>
  <c r="C4" i="1"/>
  <c r="C3" i="1"/>
  <c r="C2" i="1"/>
  <c r="L13" i="1" l="1"/>
  <c r="L14" i="1" s="1"/>
  <c r="L15" i="1" s="1"/>
  <c r="L16" i="1" s="1"/>
  <c r="L17" i="1" s="1"/>
  <c r="M2" i="1"/>
  <c r="M3" i="1"/>
  <c r="M13" i="1"/>
  <c r="M12" i="1"/>
  <c r="M4" i="1" l="1"/>
  <c r="M14" i="1"/>
  <c r="M5" i="1" l="1"/>
  <c r="M15" i="1"/>
  <c r="M6" i="1" l="1"/>
  <c r="M7" i="1"/>
  <c r="M17" i="1"/>
  <c r="M16" i="1"/>
</calcChain>
</file>

<file path=xl/sharedStrings.xml><?xml version="1.0" encoding="utf-8"?>
<sst xmlns="http://schemas.openxmlformats.org/spreadsheetml/2006/main" count="24" uniqueCount="6">
  <si>
    <t>x</t>
  </si>
  <si>
    <t>y</t>
  </si>
  <si>
    <t>n - y</t>
  </si>
  <si>
    <t>Sx</t>
  </si>
  <si>
    <t>S(n-x)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</si>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</sst>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increase, measure y (increase)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13</c:v>
                </c:pt>
                <c:pt idx="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C-493D-891D-8D70258BDF2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S(n-x)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17</c:v>
                </c:pt>
                <c:pt idx="1">
                  <c:v>11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AC-493D-891D-8D70258B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385983"/>
        <c:axId val="644477487"/>
      </c:scatterChart>
      <c:valAx>
        <c:axId val="64338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7487"/>
        <c:crosses val="autoZero"/>
        <c:crossBetween val="midCat"/>
      </c:valAx>
      <c:valAx>
        <c:axId val="6444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8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increase</a:t>
            </a:r>
            <a:r>
              <a:rPr lang="en-US"/>
              <a:t>, measure n - y (decrease)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Sheet1!$K$2:$K$7</c:f>
              <c:numCache>
                <c:formatCode>General</c:formatCode>
                <c:ptCount val="6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4-4961-8E0F-CB6F07AB1D0B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S(n-x)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Sheet1!$L$2:$L$7</c:f>
              <c:numCache>
                <c:formatCode>General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4-4961-8E0F-CB6F07AB1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188543"/>
        <c:axId val="644470415"/>
      </c:scatterChart>
      <c:valAx>
        <c:axId val="64418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0415"/>
        <c:crosses val="autoZero"/>
        <c:crossBetween val="midCat"/>
      </c:valAx>
      <c:valAx>
        <c:axId val="6444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8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decrease, measure n - y (increase)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Sheet1!$K$11</c:f>
              <c:strCache>
                <c:ptCount val="1"/>
                <c:pt idx="0">
                  <c:v>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Sheet1!$H$12:$H$17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Sheet1!$K$12:$K$17</c:f>
              <c:numCache>
                <c:formatCode>General</c:formatCode>
                <c:ptCount val="6"/>
                <c:pt idx="0">
                  <c:v>19</c:v>
                </c:pt>
                <c:pt idx="1">
                  <c:v>13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2-47BA-874D-0A4EFFEF982F}"/>
            </c:ext>
          </c:extLst>
        </c:ser>
        <c:ser>
          <c:idx val="1"/>
          <c:order val="1"/>
          <c:tx>
            <c:strRef>
              <c:f>Sheet1!$L$11</c:f>
              <c:strCache>
                <c:ptCount val="1"/>
                <c:pt idx="0">
                  <c:v>S(n-x)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Sheet1!$H$12:$H$17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Sheet1!$L$12:$L$17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11</c:v>
                </c:pt>
                <c:pt idx="5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2-47BA-874D-0A4EFFEF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33295"/>
        <c:axId val="644483311"/>
      </c:scatterChart>
      <c:valAx>
        <c:axId val="76523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83311"/>
        <c:crosses val="autoZero"/>
        <c:crossBetween val="midCat"/>
      </c:valAx>
      <c:valAx>
        <c:axId val="6444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3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decrease, measure y (decrease)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Sheet1!$A$12:$A$17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Sheet1!$D$12:$D$17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16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3-4314-B6EC-27709426CE48}"/>
            </c:ext>
          </c:extLst>
        </c:ser>
        <c:ser>
          <c:idx val="1"/>
          <c:order val="1"/>
          <c:tx>
            <c:strRef>
              <c:f>Sheet1!$E$11</c:f>
              <c:strCache>
                <c:ptCount val="1"/>
                <c:pt idx="0">
                  <c:v>S(n-x)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Sheet1!$A$12:$A$17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Sheet1!$E$12:$E$17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11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3-4314-B6EC-27709426C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02431"/>
        <c:axId val="644489551"/>
      </c:scatterChart>
      <c:valAx>
        <c:axId val="57290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89551"/>
        <c:crosses val="autoZero"/>
        <c:crossBetween val="midCat"/>
      </c:valAx>
      <c:valAx>
        <c:axId val="6444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0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increase, measure y (increase)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Sheet1!$F$2:$F$7</c:f>
              <c:numCache>
                <c:formatCode>0.000</c:formatCode>
                <c:ptCount val="6"/>
                <c:pt idx="0">
                  <c:v>0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0.77777777777777779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8-4FB0-BA94-9FF503890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56095"/>
        <c:axId val="644470831"/>
      </c:scatterChart>
      <c:valAx>
        <c:axId val="76525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0831"/>
        <c:crosses val="autoZero"/>
        <c:crossBetween val="midCat"/>
      </c:valAx>
      <c:valAx>
        <c:axId val="6444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5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increase, measure n - y (decrease)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Sheet1!$M$2:$M$7</c:f>
              <c:numCache>
                <c:formatCode>0.000</c:formatCode>
                <c:ptCount val="6"/>
                <c:pt idx="0">
                  <c:v>0.76</c:v>
                </c:pt>
                <c:pt idx="1">
                  <c:v>0.6333333333333333</c:v>
                </c:pt>
                <c:pt idx="2">
                  <c:v>0.54545454545454541</c:v>
                </c:pt>
                <c:pt idx="3">
                  <c:v>0.48484848484848486</c:v>
                </c:pt>
                <c:pt idx="4">
                  <c:v>0.41379310344827586</c:v>
                </c:pt>
                <c:pt idx="5">
                  <c:v>0.2608695652173913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A-45A4-A398-5D5439FDB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393807"/>
        <c:axId val="644502031"/>
      </c:scatterChart>
      <c:valAx>
        <c:axId val="64239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02031"/>
        <c:crosses val="autoZero"/>
        <c:crossBetween val="midCat"/>
      </c:valAx>
      <c:valAx>
        <c:axId val="6445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decrease measure y (decrease)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Sheet1!$A$12:$A$17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Sheet1!$F$12:$F$17</c:f>
              <c:numCache>
                <c:formatCode>0.000</c:formatCode>
                <c:ptCount val="6"/>
                <c:pt idx="0">
                  <c:v>0.2608695652173913</c:v>
                </c:pt>
                <c:pt idx="1">
                  <c:v>0.41379310344827586</c:v>
                </c:pt>
                <c:pt idx="2">
                  <c:v>0.48484848484848486</c:v>
                </c:pt>
                <c:pt idx="3">
                  <c:v>0.54545454545454541</c:v>
                </c:pt>
                <c:pt idx="4">
                  <c:v>0.6333333333333333</c:v>
                </c:pt>
                <c:pt idx="5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7-4C2E-909A-C8A03DE74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00687"/>
        <c:axId val="644499535"/>
      </c:scatterChart>
      <c:valAx>
        <c:axId val="64290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99535"/>
        <c:crosses val="autoZero"/>
        <c:crossBetween val="midCat"/>
      </c:valAx>
      <c:valAx>
        <c:axId val="6444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0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decrease, measure n - y (increase)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Sheet1!$M$11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Sheet1!$H$12:$H$17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Sheet1!$M$12:$M$17</c:f>
              <c:numCache>
                <c:formatCode>0.000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0.77777777777777779</c:v>
                </c:pt>
                <c:pt idx="3">
                  <c:v>0.33333333333333331</c:v>
                </c:pt>
                <c:pt idx="4">
                  <c:v>8.3333333333333329E-2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7-4CA3-87C4-D90BE5A37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870703"/>
        <c:axId val="644477071"/>
      </c:scatterChart>
      <c:valAx>
        <c:axId val="76687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7071"/>
        <c:crosses val="autoZero"/>
        <c:crossBetween val="midCat"/>
      </c:valAx>
      <c:valAx>
        <c:axId val="64447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7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0</xdr:row>
      <xdr:rowOff>157162</xdr:rowOff>
    </xdr:from>
    <xdr:to>
      <xdr:col>19</xdr:col>
      <xdr:colOff>171450</xdr:colOff>
      <xdr:row>11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308EAC-5832-4E86-9AD6-C08168075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171451</xdr:colOff>
      <xdr:row>0</xdr:row>
      <xdr:rowOff>138112</xdr:rowOff>
    </xdr:from>
    <xdr:to>
      <xdr:col>24</xdr:col>
      <xdr:colOff>504825</xdr:colOff>
      <xdr:row>11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BDF5B2-8D16-4CE8-8C03-8C99EA19A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171450</xdr:colOff>
      <xdr:row>11</xdr:row>
      <xdr:rowOff>14287</xdr:rowOff>
    </xdr:from>
    <xdr:to>
      <xdr:col>24</xdr:col>
      <xdr:colOff>476250</xdr:colOff>
      <xdr:row>20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9E8F2C-F78C-4295-A294-CF98DC039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342900</xdr:colOff>
      <xdr:row>11</xdr:row>
      <xdr:rowOff>33337</xdr:rowOff>
    </xdr:from>
    <xdr:to>
      <xdr:col>19</xdr:col>
      <xdr:colOff>180975</xdr:colOff>
      <xdr:row>20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839EB6-287B-4887-8CA2-971B95953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342900</xdr:colOff>
      <xdr:row>20</xdr:row>
      <xdr:rowOff>71437</xdr:rowOff>
    </xdr:from>
    <xdr:to>
      <xdr:col>19</xdr:col>
      <xdr:colOff>180975</xdr:colOff>
      <xdr:row>29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BC6023-91FB-4EDF-A2C6-71E65B642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180975</xdr:colOff>
      <xdr:row>20</xdr:row>
      <xdr:rowOff>71437</xdr:rowOff>
    </xdr:from>
    <xdr:to>
      <xdr:col>24</xdr:col>
      <xdr:colOff>419100</xdr:colOff>
      <xdr:row>29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74A0AF-C7A1-4819-9120-E935DCC81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323850</xdr:colOff>
      <xdr:row>29</xdr:row>
      <xdr:rowOff>52387</xdr:rowOff>
    </xdr:from>
    <xdr:to>
      <xdr:col>19</xdr:col>
      <xdr:colOff>152400</xdr:colOff>
      <xdr:row>38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8D1D89-582C-4460-9737-4E707FDC6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171450</xdr:colOff>
      <xdr:row>29</xdr:row>
      <xdr:rowOff>71437</xdr:rowOff>
    </xdr:from>
    <xdr:to>
      <xdr:col>24</xdr:col>
      <xdr:colOff>438150</xdr:colOff>
      <xdr:row>38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7DAEFE-A828-4E43-BEC3-4E4E08166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E053-34A4-478F-9AA2-57D50B8C66E3}">
  <dimension ref="A1:M17"/>
  <sheetViews>
    <sheetView tabSelected="1" workbookViewId="0">
      <selection activeCell="AA13" sqref="AA13"/>
    </sheetView>
  </sheetViews>
  <sheetFormatPr defaultRowHeight="15" x14ac:dyDescent="0.25"/>
  <cols>
    <col min="1" max="5" width="9.140625" style="1"/>
    <col min="6" max="6" width="9.5703125" style="1" bestFit="1" customWidth="1"/>
    <col min="7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25">
      <c r="A2" s="1">
        <v>0</v>
      </c>
      <c r="B2" s="1">
        <v>0</v>
      </c>
      <c r="C2" s="1">
        <f>6-B2</f>
        <v>6</v>
      </c>
      <c r="D2" s="1">
        <f>B2</f>
        <v>0</v>
      </c>
      <c r="E2" s="1">
        <f>E3+C2</f>
        <v>17</v>
      </c>
      <c r="F2" s="2">
        <f>D2/(D2+E2)</f>
        <v>0</v>
      </c>
      <c r="H2" s="1">
        <v>0</v>
      </c>
      <c r="I2" s="1">
        <v>0</v>
      </c>
      <c r="J2" s="1">
        <f>6-I2</f>
        <v>6</v>
      </c>
      <c r="K2" s="1">
        <f>K3+I2</f>
        <v>19</v>
      </c>
      <c r="L2" s="1">
        <f>J2</f>
        <v>6</v>
      </c>
      <c r="M2" s="2">
        <f>K2/(K2+L2)</f>
        <v>0.76</v>
      </c>
    </row>
    <row r="3" spans="1:13" x14ac:dyDescent="0.25">
      <c r="A3" s="1">
        <v>1</v>
      </c>
      <c r="B3" s="1">
        <v>1</v>
      </c>
      <c r="C3" s="1">
        <f t="shared" ref="C3:C7" si="0">6-B3</f>
        <v>5</v>
      </c>
      <c r="D3" s="1">
        <f>D2+B3</f>
        <v>1</v>
      </c>
      <c r="E3" s="1">
        <f>E4+C3</f>
        <v>11</v>
      </c>
      <c r="F3" s="2">
        <f>D3/(D3+E3)</f>
        <v>8.3333333333333329E-2</v>
      </c>
      <c r="H3" s="1">
        <v>1</v>
      </c>
      <c r="I3" s="1">
        <v>1</v>
      </c>
      <c r="J3" s="1">
        <f t="shared" ref="J3:J7" si="1">6-I3</f>
        <v>5</v>
      </c>
      <c r="K3" s="1">
        <f>K4+I3</f>
        <v>19</v>
      </c>
      <c r="L3" s="1">
        <f>J3+L2</f>
        <v>11</v>
      </c>
      <c r="M3" s="2">
        <f>K3/(K3+L3)</f>
        <v>0.6333333333333333</v>
      </c>
    </row>
    <row r="4" spans="1:13" x14ac:dyDescent="0.25">
      <c r="A4" s="3">
        <v>2</v>
      </c>
      <c r="B4" s="3">
        <v>2</v>
      </c>
      <c r="C4" s="3">
        <f t="shared" si="0"/>
        <v>4</v>
      </c>
      <c r="D4" s="3">
        <f>D3+B4</f>
        <v>3</v>
      </c>
      <c r="E4" s="3">
        <f>E5+C4</f>
        <v>6</v>
      </c>
      <c r="F4" s="4">
        <f>D4/(D4+E4)</f>
        <v>0.33333333333333331</v>
      </c>
      <c r="H4" s="3">
        <v>2</v>
      </c>
      <c r="I4" s="3">
        <v>2</v>
      </c>
      <c r="J4" s="3">
        <f t="shared" si="1"/>
        <v>4</v>
      </c>
      <c r="K4" s="1">
        <f>K5+I4</f>
        <v>18</v>
      </c>
      <c r="L4" s="1">
        <f>J4+L3</f>
        <v>15</v>
      </c>
      <c r="M4" s="4">
        <f>K4/(K4+L4)</f>
        <v>0.54545454545454541</v>
      </c>
    </row>
    <row r="5" spans="1:13" x14ac:dyDescent="0.25">
      <c r="A5" s="3">
        <v>3</v>
      </c>
      <c r="B5" s="3">
        <v>4</v>
      </c>
      <c r="C5" s="3">
        <f t="shared" si="0"/>
        <v>2</v>
      </c>
      <c r="D5" s="3">
        <f>D4+B5</f>
        <v>7</v>
      </c>
      <c r="E5" s="3">
        <f>E6+C5</f>
        <v>2</v>
      </c>
      <c r="F5" s="4">
        <f>D5/(D5+E5)</f>
        <v>0.77777777777777779</v>
      </c>
      <c r="H5" s="3">
        <v>3</v>
      </c>
      <c r="I5" s="3">
        <v>4</v>
      </c>
      <c r="J5" s="3">
        <f t="shared" si="1"/>
        <v>2</v>
      </c>
      <c r="K5" s="1">
        <f>K6+I5</f>
        <v>16</v>
      </c>
      <c r="L5" s="1">
        <f>J5+L4</f>
        <v>17</v>
      </c>
      <c r="M5" s="4">
        <f>K5/(K5+L5)</f>
        <v>0.48484848484848486</v>
      </c>
    </row>
    <row r="6" spans="1:13" x14ac:dyDescent="0.25">
      <c r="A6" s="1">
        <v>4</v>
      </c>
      <c r="B6" s="1">
        <v>6</v>
      </c>
      <c r="C6" s="1">
        <f t="shared" si="0"/>
        <v>0</v>
      </c>
      <c r="D6" s="1">
        <f>D5+B6</f>
        <v>13</v>
      </c>
      <c r="E6" s="1">
        <f>E7+C6</f>
        <v>0</v>
      </c>
      <c r="F6" s="2">
        <f>D6/(D6+E6)</f>
        <v>1</v>
      </c>
      <c r="H6" s="1">
        <v>4</v>
      </c>
      <c r="I6" s="1">
        <v>6</v>
      </c>
      <c r="J6" s="1">
        <f t="shared" si="1"/>
        <v>0</v>
      </c>
      <c r="K6" s="1">
        <f>K7+I6</f>
        <v>12</v>
      </c>
      <c r="L6" s="1">
        <f>J6+L5</f>
        <v>17</v>
      </c>
      <c r="M6" s="2">
        <f>K6/(K6+L6)</f>
        <v>0.41379310344827586</v>
      </c>
    </row>
    <row r="7" spans="1:13" x14ac:dyDescent="0.25">
      <c r="A7" s="1">
        <v>5</v>
      </c>
      <c r="B7" s="1">
        <v>6</v>
      </c>
      <c r="C7" s="1">
        <f t="shared" si="0"/>
        <v>0</v>
      </c>
      <c r="D7" s="1">
        <f>D6+B7</f>
        <v>19</v>
      </c>
      <c r="E7" s="1">
        <f>C7</f>
        <v>0</v>
      </c>
      <c r="F7" s="2">
        <f>D7/(D7+E7)</f>
        <v>1</v>
      </c>
      <c r="H7" s="1">
        <v>5</v>
      </c>
      <c r="I7" s="1">
        <v>6</v>
      </c>
      <c r="J7" s="1">
        <f t="shared" si="1"/>
        <v>0</v>
      </c>
      <c r="K7" s="1">
        <f>I7</f>
        <v>6</v>
      </c>
      <c r="L7" s="1">
        <f>J7+L6</f>
        <v>17</v>
      </c>
      <c r="M7" s="2">
        <f>K7/(K7+L7)</f>
        <v>0.2608695652173913</v>
      </c>
    </row>
    <row r="8" spans="1:13" x14ac:dyDescent="0.25">
      <c r="F8" s="2"/>
    </row>
    <row r="9" spans="1:13" x14ac:dyDescent="0.25">
      <c r="F9" s="2"/>
    </row>
    <row r="10" spans="1:13" x14ac:dyDescent="0.25">
      <c r="F10" s="2"/>
    </row>
    <row r="11" spans="1:13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2" t="s">
        <v>5</v>
      </c>
      <c r="H11" s="1" t="s">
        <v>0</v>
      </c>
      <c r="I11" s="1" t="s">
        <v>1</v>
      </c>
      <c r="J11" s="1" t="s">
        <v>2</v>
      </c>
      <c r="K11" s="1" t="s">
        <v>3</v>
      </c>
      <c r="L11" s="1" t="s">
        <v>4</v>
      </c>
      <c r="M11" s="2" t="s">
        <v>5</v>
      </c>
    </row>
    <row r="12" spans="1:13" x14ac:dyDescent="0.25">
      <c r="A12" s="1">
        <v>5</v>
      </c>
      <c r="B12" s="1">
        <v>6</v>
      </c>
      <c r="C12" s="1">
        <f>6-B12</f>
        <v>0</v>
      </c>
      <c r="D12" s="1">
        <f>B12</f>
        <v>6</v>
      </c>
      <c r="E12" s="1">
        <f>E13+C12</f>
        <v>17</v>
      </c>
      <c r="F12" s="2">
        <f>D12/(D12+E12)</f>
        <v>0.2608695652173913</v>
      </c>
      <c r="H12" s="1">
        <v>5</v>
      </c>
      <c r="I12" s="1">
        <v>6</v>
      </c>
      <c r="J12" s="1">
        <f>6-I12</f>
        <v>0</v>
      </c>
      <c r="K12" s="1">
        <f>K13+I12</f>
        <v>19</v>
      </c>
      <c r="L12" s="1">
        <f>J12</f>
        <v>0</v>
      </c>
      <c r="M12" s="2">
        <f>K12/(K12+L12)</f>
        <v>1</v>
      </c>
    </row>
    <row r="13" spans="1:13" x14ac:dyDescent="0.25">
      <c r="A13" s="1">
        <v>4</v>
      </c>
      <c r="B13" s="1">
        <v>6</v>
      </c>
      <c r="C13" s="1">
        <f>6-B13</f>
        <v>0</v>
      </c>
      <c r="D13" s="1">
        <f>D12+B13</f>
        <v>12</v>
      </c>
      <c r="E13" s="1">
        <f>E14+C13</f>
        <v>17</v>
      </c>
      <c r="F13" s="2">
        <f>D13/(D13+E13)</f>
        <v>0.41379310344827586</v>
      </c>
      <c r="H13" s="1">
        <v>4</v>
      </c>
      <c r="I13" s="1">
        <v>6</v>
      </c>
      <c r="J13" s="1">
        <f>6-I13</f>
        <v>0</v>
      </c>
      <c r="K13" s="1">
        <f>K14+I13</f>
        <v>13</v>
      </c>
      <c r="L13" s="1">
        <f>J13+L12</f>
        <v>0</v>
      </c>
      <c r="M13" s="2">
        <f>K13/(K13+L13)</f>
        <v>1</v>
      </c>
    </row>
    <row r="14" spans="1:13" x14ac:dyDescent="0.25">
      <c r="A14" s="3">
        <v>3</v>
      </c>
      <c r="B14" s="3">
        <v>4</v>
      </c>
      <c r="C14" s="3">
        <f>6-B14</f>
        <v>2</v>
      </c>
      <c r="D14" s="3">
        <f>D13+B14</f>
        <v>16</v>
      </c>
      <c r="E14" s="3">
        <f>E15+C14</f>
        <v>17</v>
      </c>
      <c r="F14" s="4">
        <f>D14/(D14+E14)</f>
        <v>0.48484848484848486</v>
      </c>
      <c r="H14" s="3">
        <v>3</v>
      </c>
      <c r="I14" s="3">
        <v>4</v>
      </c>
      <c r="J14" s="3">
        <f>6-I14</f>
        <v>2</v>
      </c>
      <c r="K14" s="1">
        <f>K15+I14</f>
        <v>7</v>
      </c>
      <c r="L14" s="1">
        <f>J14+L13</f>
        <v>2</v>
      </c>
      <c r="M14" s="4">
        <f>K14/(K14+L14)</f>
        <v>0.77777777777777779</v>
      </c>
    </row>
    <row r="15" spans="1:13" x14ac:dyDescent="0.25">
      <c r="A15" s="3">
        <v>2</v>
      </c>
      <c r="B15" s="3">
        <v>2</v>
      </c>
      <c r="C15" s="3">
        <f>6-B15</f>
        <v>4</v>
      </c>
      <c r="D15" s="3">
        <f>D14+B15</f>
        <v>18</v>
      </c>
      <c r="E15" s="3">
        <f>E16+C15</f>
        <v>15</v>
      </c>
      <c r="F15" s="4">
        <f>D15/(D15+E15)</f>
        <v>0.54545454545454541</v>
      </c>
      <c r="H15" s="3">
        <v>2</v>
      </c>
      <c r="I15" s="3">
        <v>2</v>
      </c>
      <c r="J15" s="3">
        <f>6-I15</f>
        <v>4</v>
      </c>
      <c r="K15" s="1">
        <f>K16+I15</f>
        <v>3</v>
      </c>
      <c r="L15" s="1">
        <f>J15+L14</f>
        <v>6</v>
      </c>
      <c r="M15" s="4">
        <f>K15/(K15+L15)</f>
        <v>0.33333333333333331</v>
      </c>
    </row>
    <row r="16" spans="1:13" x14ac:dyDescent="0.25">
      <c r="A16" s="1">
        <v>1</v>
      </c>
      <c r="B16" s="1">
        <v>1</v>
      </c>
      <c r="C16" s="1">
        <f>6-B16</f>
        <v>5</v>
      </c>
      <c r="D16" s="1">
        <f>D15+B16</f>
        <v>19</v>
      </c>
      <c r="E16" s="1">
        <f>E17+C16</f>
        <v>11</v>
      </c>
      <c r="F16" s="2">
        <f>D16/(D16+E16)</f>
        <v>0.6333333333333333</v>
      </c>
      <c r="H16" s="1">
        <v>1</v>
      </c>
      <c r="I16" s="1">
        <v>1</v>
      </c>
      <c r="J16" s="1">
        <f>6-I16</f>
        <v>5</v>
      </c>
      <c r="K16" s="1">
        <f>K17+I16</f>
        <v>1</v>
      </c>
      <c r="L16" s="1">
        <f>J16+L15</f>
        <v>11</v>
      </c>
      <c r="M16" s="2">
        <f>K16/(K16+L16)</f>
        <v>8.3333333333333329E-2</v>
      </c>
    </row>
    <row r="17" spans="1:13" x14ac:dyDescent="0.25">
      <c r="A17" s="1">
        <v>0</v>
      </c>
      <c r="B17" s="1">
        <v>0</v>
      </c>
      <c r="C17" s="1">
        <f>6-B17</f>
        <v>6</v>
      </c>
      <c r="D17" s="1">
        <f>D16+B17</f>
        <v>19</v>
      </c>
      <c r="E17" s="1">
        <f>C17</f>
        <v>6</v>
      </c>
      <c r="F17" s="2">
        <f>D17/(D17+E17)</f>
        <v>0.76</v>
      </c>
      <c r="H17" s="1">
        <v>0</v>
      </c>
      <c r="I17" s="1">
        <v>0</v>
      </c>
      <c r="J17" s="1">
        <f>6-I17</f>
        <v>6</v>
      </c>
      <c r="K17" s="1">
        <f>I17</f>
        <v>0</v>
      </c>
      <c r="L17" s="1">
        <f>J17+L16</f>
        <v>17</v>
      </c>
      <c r="M17" s="2">
        <f>K17/(K17+L17)</f>
        <v>0</v>
      </c>
    </row>
  </sheetData>
  <sortState xmlns:xlrd2="http://schemas.microsoft.com/office/spreadsheetml/2017/richdata2" ref="A12:C17">
    <sortCondition descending="1" ref="A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Kent, Thomas F - APHIS</dc:creator>
  <cp:lastModifiedBy>Kent, Thomas F - APHIS</cp:lastModifiedBy>
  <dcterms:created xsi:type="dcterms:W3CDTF">2021-11-16T14:09:16Z</dcterms:created>
  <dcterms:modified xsi:type="dcterms:W3CDTF">2021-11-17T14:34:42Z</dcterms:modified>
</cp:coreProperties>
</file>