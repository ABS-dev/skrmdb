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kent\Documents\CVB Packages\"/>
    </mc:Choice>
  </mc:AlternateContent>
  <xr:revisionPtr revIDLastSave="0" documentId="13_ncr:1_{7EC2FB67-B99F-417C-B48F-7874FD9A6C76}" xr6:coauthVersionLast="45" xr6:coauthVersionMax="45" xr10:uidLastSave="{00000000-0000-0000-0000-000000000000}"/>
  <bookViews>
    <workbookView xWindow="-120" yWindow="-120" windowWidth="29040" windowHeight="15840" activeTab="1" xr2:uid="{F9607E36-FA84-47C4-8774-1AB66A9AB3E7}"/>
  </bookViews>
  <sheets>
    <sheet name="Sheet2" sheetId="2" r:id="rId1"/>
    <sheet name="Sheet3" sheetId="3" r:id="rId2"/>
    <sheet name="Sheet4" sheetId="4" r:id="rId3"/>
  </sheets>
  <definedNames>
    <definedName name="_xlnm._FilterDatabase" localSheetId="0" hidden="1">Sheet2!$A$1:$E$572</definedName>
    <definedName name="_xlnm._FilterDatabase" localSheetId="1" hidden="1">Sheet3!$A$1:$F$39</definedName>
    <definedName name="_xlnm._FilterDatabase" localSheetId="2" hidden="1">Sheet4!$A$1:$E$42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" i="3" l="1"/>
  <c r="D8" i="3"/>
  <c r="D7" i="3"/>
  <c r="D6" i="3"/>
  <c r="D5" i="3"/>
  <c r="D4" i="3"/>
  <c r="D3" i="3"/>
  <c r="D2" i="3"/>
  <c r="I1" i="3"/>
  <c r="L1" i="3"/>
  <c r="C1" i="3"/>
  <c r="C26" i="4" l="1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F27" i="4"/>
  <c r="F26" i="4"/>
  <c r="F16" i="4"/>
  <c r="D24" i="4"/>
  <c r="D4" i="4"/>
  <c r="D7" i="4"/>
  <c r="D3" i="4"/>
  <c r="D19" i="4"/>
  <c r="D18" i="4"/>
  <c r="D17" i="4"/>
  <c r="D16" i="4"/>
  <c r="D15" i="4"/>
  <c r="D13" i="4"/>
  <c r="D5" i="4"/>
  <c r="D6" i="4"/>
  <c r="D26" i="4"/>
  <c r="D23" i="4"/>
  <c r="D14" i="4"/>
  <c r="D2" i="4"/>
  <c r="D12" i="4"/>
  <c r="D21" i="4"/>
  <c r="D22" i="4"/>
  <c r="D20" i="4"/>
  <c r="D8" i="4"/>
  <c r="D11" i="4"/>
  <c r="D9" i="4"/>
  <c r="D10" i="4"/>
  <c r="D25" i="4"/>
  <c r="F8" i="4" l="1"/>
  <c r="C43" i="3" l="1"/>
  <c r="D1" i="2" l="1"/>
  <c r="E1" i="2" s="1"/>
</calcChain>
</file>

<file path=xl/sharedStrings.xml><?xml version="1.0" encoding="utf-8"?>
<sst xmlns="http://schemas.openxmlformats.org/spreadsheetml/2006/main" count="1971" uniqueCount="282">
  <si>
    <t>n</t>
  </si>
  <si>
    <t>a</t>
  </si>
  <si>
    <t>b</t>
  </si>
  <si>
    <t>SpearKarb(cbind(y, n)~x, tmp)$ed</t>
  </si>
  <si>
    <t>DragBehr(cbind(y, n)~x, tmp)$ed</t>
  </si>
  <si>
    <t>DragBehr(cbind(y, n)~x, tmp)</t>
  </si>
  <si>
    <t>196 15Q5.20 241739 - H3N2 inactivation.R</t>
  </si>
  <si>
    <t>E ruh ref IRP 609 Round 2.r</t>
  </si>
  <si>
    <t>112 118522 88681analysis.r</t>
  </si>
  <si>
    <t>124 115126 108975 analysis.r</t>
  </si>
  <si>
    <t>124 1601.11 237072 COD_to Update OP.R</t>
  </si>
  <si>
    <t>124 174852 Brachyspira hyodysenteriae detection assay.r</t>
  </si>
  <si>
    <t>124 18M1.27 222599 CPV titration assay val.R</t>
  </si>
  <si>
    <t>124 18P5.R0 212318 Inact Kin PPV.R</t>
  </si>
  <si>
    <t>124 19A5.R2 198995 SIV 18 mo COD MMR.R</t>
  </si>
  <si>
    <t>124 19A5.R2 198995 SIV 18 mo COD.R</t>
  </si>
  <si>
    <t>124 19A5.R4 205255 SIV stability.R</t>
  </si>
  <si>
    <t>124 7410.01 235321 C. Chauvoei Ref Qual.R</t>
  </si>
  <si>
    <t>124 7410.01 235321 Guinea Pig PD50.R</t>
  </si>
  <si>
    <t>124 7410.01 235342 Guinea Pig PD50.R</t>
  </si>
  <si>
    <t>124 unas 174852 Brachyspira hyodysenteriae detection assay val.R</t>
  </si>
  <si>
    <t>165A 1121.31 225985 PI3 Titration Comparisons.R</t>
  </si>
  <si>
    <t>165A 12712 108294 analysis.r</t>
  </si>
  <si>
    <t>165A 1621.14 199167 Fowl pox 24 mo stability study.R</t>
  </si>
  <si>
    <t>165A 16D1.20 226132 FPL Titration Comparisons.R</t>
  </si>
  <si>
    <t>165A 1721.16 200565 Newcastle 18 mo stability study.R</t>
  </si>
  <si>
    <t>165A 1721.17 200572 Newcastle 18 mo stability study.R</t>
  </si>
  <si>
    <t>165A 17B1.17 200591 NDV IBV 18 mo stability study.R</t>
  </si>
  <si>
    <t>165A 190523 200137 Rabies COD.R</t>
  </si>
  <si>
    <t>165A 19H1.20 205928 18 mo COD.R</t>
  </si>
  <si>
    <t>165A 19N1.20 207753 BCV COD.R</t>
  </si>
  <si>
    <t>165A 19N1.20 24831 Bovine_Coronavirus_COD.R</t>
  </si>
  <si>
    <t>165A 19N120 120263 analysis.R</t>
  </si>
  <si>
    <t>165A 19N120 170518 assay transfer.R</t>
  </si>
  <si>
    <t>165A 49K5R1 93306 analysis.r</t>
  </si>
  <si>
    <t>165A UNASGN 127743 liquid stab.R</t>
  </si>
  <si>
    <t>174542 Estimates.r</t>
  </si>
  <si>
    <t>174542.r</t>
  </si>
  <si>
    <t>188 212000 93032 analysis.r</t>
  </si>
  <si>
    <t>188 2700.00 244750 - confirmation of dating - pasteurella multocida.R</t>
  </si>
  <si>
    <t>190 1091.20 199574 COD for several bovine codes.R</t>
  </si>
  <si>
    <t>190 1181.29 193982 mIBR titration validation.R</t>
  </si>
  <si>
    <t>190 1505.29 243499 - EIV Ri07 inactivation.R</t>
  </si>
  <si>
    <t>190 1505.29 243502 - EIV Oh09 inactivation.R</t>
  </si>
  <si>
    <t>190 16E120 185014 FCP COD.R</t>
  </si>
  <si>
    <t>190 1820.20 117175 conf of dating - Follow up.R</t>
  </si>
  <si>
    <t>190 190524 196007 Rabies Ref updated.R</t>
  </si>
  <si>
    <t>190 190524 196007 Rabies Ref.R</t>
  </si>
  <si>
    <t>190 190524 213608 Inact Kin.R</t>
  </si>
  <si>
    <t>190 190526 197211 Rabies Stability.R</t>
  </si>
  <si>
    <t>190 190526 200371 Rabies Stability.R</t>
  </si>
  <si>
    <t>190 1931.20 116210 Bovine rotavirus coronavirus manufacturing changes Tong code.r</t>
  </si>
  <si>
    <t>190 1931.20 116210 Bovine rotavirus coronavirus manufacturing changes.R</t>
  </si>
  <si>
    <t>190 2668.00 245312 - L canicola potency hamster elisa.R</t>
  </si>
  <si>
    <t>190 2668.00 245314 - L grippo potency hamster elisa.R</t>
  </si>
  <si>
    <t>190 2668.00 245315 - L ictero potency hamster elisa.R</t>
  </si>
  <si>
    <t>190 2668.00 245318 - L pomona potency hamster elisa.R</t>
  </si>
  <si>
    <t>190 2799.20 234797 Inact Kinet.R</t>
  </si>
  <si>
    <t>190 47K1.20 235630 - confirmation of dating - virus fractions.R</t>
  </si>
  <si>
    <t>190 48R520 216056 COD.R</t>
  </si>
  <si>
    <t>190_14W522_242430_24mo_COD.R</t>
  </si>
  <si>
    <t>190_2A41.00_214687_COD.R</t>
  </si>
  <si>
    <t>196 18P5.20 183852 Porcine parvo PC serum lot.R</t>
  </si>
  <si>
    <t>196 19S120 186491 Titration Assay Val.R</t>
  </si>
  <si>
    <t>196_19S120_215016_COD.R</t>
  </si>
  <si>
    <t>213 16D1.22 187785 FVR-FCV-FPL COD.R</t>
  </si>
  <si>
    <t>213 16D1.22 191103 FVR-FCV-FPL COD resubmission.R</t>
  </si>
  <si>
    <t>290 118121 111384 analysis.r</t>
  </si>
  <si>
    <t>290 79A5.01 93676 salmonella typhimurium stability.r</t>
  </si>
  <si>
    <t>290 79A500 125831 S Typ Reference.R</t>
  </si>
  <si>
    <t>298 1901R4 114897 rabies cod.r</t>
  </si>
  <si>
    <t>298 19S1R2 170131 Assay Val.R</t>
  </si>
  <si>
    <t>303 118121 96126 conf dating.r</t>
  </si>
  <si>
    <t>315 7935.01 244892 - MH PM LRM.R</t>
  </si>
  <si>
    <t>315 793504 174935 COD.R</t>
  </si>
  <si>
    <t>329 19S1.R0 236993 product stability.R</t>
  </si>
  <si>
    <t>329 19S1R0 111709 analysis.r</t>
  </si>
  <si>
    <t>329 19S1R0 122546 assay val.R</t>
  </si>
  <si>
    <t>444A 6101.01 203342 VenomVet stability study.R</t>
  </si>
  <si>
    <t>454A 5083.80 202454 M haemofelis DNA panel val.R</t>
  </si>
  <si>
    <t>455 1015.20 244591 - PT inactivation.R</t>
  </si>
  <si>
    <t>474_1825.R0_226299_LODforIK_IFA.R</t>
  </si>
  <si>
    <t>597 A52220 95172 Inact Kin.r</t>
  </si>
  <si>
    <t>597 D85521 93210 EHV4 Inact Kin.r</t>
  </si>
  <si>
    <t>657A 1901.R8 227583 ONRAB rabies FA50 validation.R</t>
  </si>
  <si>
    <t>657A 1901.R8 241302 Rabies FA50 validation.R</t>
  </si>
  <si>
    <t>91055 analysis.r</t>
  </si>
  <si>
    <t>A235497 - COD - Other.R</t>
  </si>
  <si>
    <t>Amyd Analysis 196540.R</t>
  </si>
  <si>
    <t>Analysis 196540.R</t>
  </si>
  <si>
    <t>Analysis 199211.R</t>
  </si>
  <si>
    <t>Analysis 200256.R</t>
  </si>
  <si>
    <t>Analysis 200799.R</t>
  </si>
  <si>
    <t>analysis.R</t>
  </si>
  <si>
    <t>back titration range.r</t>
  </si>
  <si>
    <t>BVD2 titration assay analysis.r</t>
  </si>
  <si>
    <t>Calibrating Rabies Reference 1701.R</t>
  </si>
  <si>
    <t>code for plots for ABS presentation_2.r</t>
  </si>
  <si>
    <t>Comparing Rabies References.r</t>
  </si>
  <si>
    <t>CSF BVD IPVN Harmonization.R</t>
  </si>
  <si>
    <t>CVB BACT clostridium sordellii results.r</t>
  </si>
  <si>
    <t>CVB Rabies Reference.R</t>
  </si>
  <si>
    <t>E ruh ref IRP 609.r</t>
  </si>
  <si>
    <t>firms comparisons of rabies references.r</t>
  </si>
  <si>
    <t>GPT_SAMs.r</t>
  </si>
  <si>
    <t>Graphing 183852.R</t>
  </si>
  <si>
    <t>Graphing 186491.R</t>
  </si>
  <si>
    <t>Graphing 189019.R</t>
  </si>
  <si>
    <t>Graphing 194520.R</t>
  </si>
  <si>
    <t>Graphing 199030.R</t>
  </si>
  <si>
    <t>Graphing 200565.R</t>
  </si>
  <si>
    <t>Graphing 200572.R</t>
  </si>
  <si>
    <t>Graphing 200591.R</t>
  </si>
  <si>
    <t>Graphing 200688.R</t>
  </si>
  <si>
    <t>Graphing 200692.R</t>
  </si>
  <si>
    <t>Graphing 201249.R</t>
  </si>
  <si>
    <t>Graphing 201842.R</t>
  </si>
  <si>
    <t>Graphing 202245.R</t>
  </si>
  <si>
    <t>Graphing and Analysis 200833.R</t>
  </si>
  <si>
    <t>Graphing_222520.R</t>
  </si>
  <si>
    <t>Graphing_224985.R</t>
  </si>
  <si>
    <t>Graphing_226500.R</t>
  </si>
  <si>
    <t>Graphing_228106.R</t>
  </si>
  <si>
    <t>Graphing_229977.R</t>
  </si>
  <si>
    <t>Graphing_238180.R</t>
  </si>
  <si>
    <t>Graphing_238887.R</t>
  </si>
  <si>
    <t>Graphing_243372.R</t>
  </si>
  <si>
    <t>Graphing_245259 MMR.R</t>
  </si>
  <si>
    <t>Graphing_245259.R</t>
  </si>
  <si>
    <t>hauer_request8nov2019.R</t>
  </si>
  <si>
    <t>investigating designs for TCID50 estimation.R</t>
  </si>
  <si>
    <t>pd50_simulation.r</t>
  </si>
  <si>
    <t>Processing 108975.r</t>
  </si>
  <si>
    <t>Processing 164633.R</t>
  </si>
  <si>
    <t>Processing 199574.R</t>
  </si>
  <si>
    <t>Processing 203521.R</t>
  </si>
  <si>
    <t>Processing 206882.R</t>
  </si>
  <si>
    <t>Processing 208309.R</t>
  </si>
  <si>
    <t>Processing CVBIC.r</t>
  </si>
  <si>
    <t>Processing_229676.R</t>
  </si>
  <si>
    <t>Processing_234340.R</t>
  </si>
  <si>
    <t>rabies backtitration.r</t>
  </si>
  <si>
    <t>rabies chal dil.R</t>
  </si>
  <si>
    <t>Rabies CVS.R</t>
  </si>
  <si>
    <t>rabies norm request.r</t>
  </si>
  <si>
    <t>rabies ref titer range.R</t>
  </si>
  <si>
    <t>Rabies Reference 1709 Initial Look.R</t>
  </si>
  <si>
    <t>Rabies Round 2 New Reference.R</t>
  </si>
  <si>
    <t>Rabies2020.R</t>
  </si>
  <si>
    <t>ref ed50 ranges.r</t>
  </si>
  <si>
    <t>round 2 rabies IN.r</t>
  </si>
  <si>
    <t>unsat rabies serial.r</t>
  </si>
  <si>
    <t>Use dilution of 0814.r</t>
  </si>
  <si>
    <t>124 13C120 105562 Conf Dating.r</t>
  </si>
  <si>
    <t>124 14R729 112122 conf of dating.R</t>
  </si>
  <si>
    <t>124 160111 237072 MMR.R</t>
  </si>
  <si>
    <t>124 1901R3 109105 analysis.r</t>
  </si>
  <si>
    <t>124 19A5.R2 127983 validation of SIV titration assay.R</t>
  </si>
  <si>
    <t>165A 1181.22 111688 conf of dating.R</t>
  </si>
  <si>
    <t>165A 11A8.22 112108 conf of dating.R</t>
  </si>
  <si>
    <t>165A 14M1.22 216046 CPIV-Bord COD.R</t>
  </si>
  <si>
    <t>165A 8081.00 114706 potency of std toxin.R</t>
  </si>
  <si>
    <t>190 7060.00 174542 Bordetella ref monitoring.R</t>
  </si>
  <si>
    <t>196 15Q5.20 241918 - H3N8 inactivation.R</t>
  </si>
  <si>
    <t>279 177117 109339 conf of dating.r</t>
  </si>
  <si>
    <t>368 104521 192387 Reo Inact Kin.R</t>
  </si>
  <si>
    <t>368 104521 192603 Reo Inact Kin.R</t>
  </si>
  <si>
    <t>368 104521 192615 Reo Inact Kin.R</t>
  </si>
  <si>
    <t>368 10A1.00 112411 conf of dating.R</t>
  </si>
  <si>
    <t>368 10A1.01 112412 conf of dating.R</t>
  </si>
  <si>
    <t>368 10M1.40 126003 24 mo COD.R</t>
  </si>
  <si>
    <t>368 1621.00 112501 conf of dating.R</t>
  </si>
  <si>
    <t>368 1F31.R0 126621 24 mo Fowl Pox-Laryngotracheitis COD.R</t>
  </si>
  <si>
    <t>Graphing 127095.R</t>
  </si>
  <si>
    <t>Graphing 200883.R</t>
  </si>
  <si>
    <t>Processing 109339.r</t>
  </si>
  <si>
    <t>Processing 203522.R</t>
  </si>
  <si>
    <t>Processing 368 10A1.00 112411 conf of dating.R</t>
  </si>
  <si>
    <t>Processing_216046.R</t>
  </si>
  <si>
    <t>124 18P5R0 198248 Inact Kin.R</t>
  </si>
  <si>
    <t>124 49W5A0 195243 EEE inact kin.R</t>
  </si>
  <si>
    <t>213 45B9.20 111955 Mouse Potency.R</t>
  </si>
  <si>
    <t>290 45B921 186402 LOI by serology updated.R</t>
  </si>
  <si>
    <t>290 45B921 186402 LOI by serology.R</t>
  </si>
  <si>
    <t>315 2760.00 178096 M bovis Ref 9.5.2001 stability monitoring.R</t>
  </si>
  <si>
    <t>315 2760.00 184812 Mbovis Ref 9.5.2001 monitoring follow up.R</t>
  </si>
  <si>
    <t>315 276001 126321 assay val.R</t>
  </si>
  <si>
    <t>368 1D61R0 168002 COD.R</t>
  </si>
  <si>
    <t>597 4885.21 244741 - VEE inactivation.R</t>
  </si>
  <si>
    <t>597 4885.21 244743 - Kentucky Flu inactivation.R</t>
  </si>
  <si>
    <t>597 4885.21 244745 - EEE inactivation.R</t>
  </si>
  <si>
    <t>597 4885.21 244747 - EHV1 inactivation.R</t>
  </si>
  <si>
    <t>lepto_back_titration.R</t>
  </si>
  <si>
    <t>** lost **</t>
  </si>
  <si>
    <t>ok</t>
  </si>
  <si>
    <t>cbind</t>
  </si>
  <si>
    <t>SpearKarb(y, n, x)</t>
  </si>
  <si>
    <t>DragBehr(y, n, x)</t>
  </si>
  <si>
    <t>DragBehr(y, n, x)$ed</t>
  </si>
  <si>
    <t>ReedMuench(y, n, x)</t>
  </si>
  <si>
    <t>ReedMuench(y, n, x)$ed</t>
  </si>
  <si>
    <t>ReedMuench(y, n, x, show=T)$ed</t>
  </si>
  <si>
    <t>SpearKarb(y, n, x)$ed</t>
  </si>
  <si>
    <t>SpearKarb(y, n, x)@ed</t>
  </si>
  <si>
    <t>SpearKarb(cbind(rev(y), rev(n))~rev(x), .)$ed</t>
  </si>
  <si>
    <t>SpearKarb(cbind(rev(y), rev(n))~rev(x), data)$ed</t>
  </si>
  <si>
    <t>SpearKarb(cbind(y, n)~x, .)$ed</t>
  </si>
  <si>
    <t>DragBehr(cbind(y, n)~x, data)</t>
  </si>
  <si>
    <t>DragBehr(cbind(y, n)~x, data)$ed</t>
  </si>
  <si>
    <t>DragBehr(cbind(y, n)~x, data)['db']</t>
  </si>
  <si>
    <t>DragBehr(cbind(y, n)~log10(x), data)</t>
  </si>
  <si>
    <t>ReedMuench(cbind(y, n)~x, data)['rm']</t>
  </si>
  <si>
    <t>ReedMuench(cbind(y, n)~x, data)$ed</t>
  </si>
  <si>
    <t>ReedMuench(cbind(y, n)~x, data)@ed</t>
  </si>
  <si>
    <t>ReedMuench(cbind(y, n)~x, data)</t>
  </si>
  <si>
    <t>ReedMuench(cbind(y, n)~log(x), data)</t>
  </si>
  <si>
    <t>SpearKarb(cbind(y, n) ~ x, data)</t>
  </si>
  <si>
    <t>SpearKarb(cbind(y, n) ~ log(x), data)</t>
  </si>
  <si>
    <t>SpearKarb(cbind(y, n) ~ x, data)$ed</t>
  </si>
  <si>
    <t>SpearKarb(cbind(y, n) ~ x, data)@ed</t>
  </si>
  <si>
    <t>SpearKarb(cbind(y, n) ~ x, data)['sk']</t>
  </si>
  <si>
    <t>SpearKarb(cbind(y, n) ~ -1 * x, data)</t>
  </si>
  <si>
    <t>SpearKarb(cbind(y, n) ~ x, data)[1]</t>
  </si>
  <si>
    <t>SpearKarb(cbind(data$y, data$n)~data$x, data)@ed</t>
  </si>
  <si>
    <t>SpearKarb(cbind(data$y, data$n)~data$x, data)</t>
  </si>
  <si>
    <t>DragBehr(cbind(rev(y), rev(n))~rev(x), data)$ed</t>
  </si>
  <si>
    <t>DragBehr(cbind(rev(y), rev(n))~rev(x), data)</t>
  </si>
  <si>
    <t>SpearKarb(cbind(rev(y), rev(n))~rev(x), data)</t>
  </si>
  <si>
    <t>DragBehr(cbind(rev(y), rev(nl))~rev(x), .)$ed</t>
  </si>
  <si>
    <t>SpearKarb(cbind(y, n)~x, data)</t>
  </si>
  <si>
    <t>SpearKarb(cbind(y, n)~x, data)$ed</t>
  </si>
  <si>
    <t>SpearKarb(cbind(rev(data$y), rev(data$n))~rev(data$x), data)$ed</t>
  </si>
  <si>
    <t>ReedMuench(cbind(rev(y), rev(nl))~rev(x), data, warn.me = F, show = F)</t>
  </si>
  <si>
    <t>SpearKarb(cbind(Y-vals, N-vals)~rev(x), data)$ed</t>
  </si>
  <si>
    <t>c</t>
  </si>
  <si>
    <t>skrmdb(cbind(y,n)~x,.)$ed</t>
  </si>
  <si>
    <t>skrmdb(cbind(y,n)~x,tmp)$ed</t>
  </si>
  <si>
    <t>skrmdb(cbind(y,n)~x,data)$ed</t>
  </si>
  <si>
    <t>skrmdb(cbind(rev(y),rev(n))~rev(x),.)$ed</t>
  </si>
  <si>
    <t>skrmdb(cbind(rev(y),rev(nl))~rev(x),.)$ed</t>
  </si>
  <si>
    <t>skrmdb(cbind(rev(y),rev(n))~rev(x),data)$ed</t>
  </si>
  <si>
    <t>skrmdb(cbind(Y-vals,N-vals)~rev(x),data)$ed</t>
  </si>
  <si>
    <t>skrmdb(cbind(rev(data$y),rev(data$n))~rev(data$x),data)$ed</t>
  </si>
  <si>
    <t>skrmdb(cbind(y,n)~x,data)@ed</t>
  </si>
  <si>
    <t>skrmdb(cbind(data$y,data$n)~data$x,data)@ed</t>
  </si>
  <si>
    <t>skrmdb(cbind(data$y,data$n)~data$x,data)</t>
  </si>
  <si>
    <t>skrmdb(cbind(rev(y),rev(nl))~rev(x),data,warn.me=F,show=F)</t>
  </si>
  <si>
    <t>skrmdb(cbind(rev(y),rev(n))~rev(x),data)</t>
  </si>
  <si>
    <t>skrmdb(cbind(y,n)~-1*x,data)</t>
  </si>
  <si>
    <t>skrmdb(cbind(y,n)~log(x),data)</t>
  </si>
  <si>
    <t>skrmdb(cbind(y,n)~x,data)</t>
  </si>
  <si>
    <t>skrmdb(cbind(y,n)~x,data)[1]</t>
  </si>
  <si>
    <t>skrmdb(cbind(y,n)~x,data)['sk']</t>
  </si>
  <si>
    <t>skrmdb(cbind(y,n)~x,data)['db']</t>
  </si>
  <si>
    <t>skrmdb(cbind(y,n)~x,data)['rm']</t>
  </si>
  <si>
    <t>skrmdb(cbind(y,n)~x,tmp)</t>
  </si>
  <si>
    <t>skrmdb(y,n,x)$ed</t>
  </si>
  <si>
    <t>skrmdb(y,n,x,show=T)$ed</t>
  </si>
  <si>
    <t>skrmdb(y,n,x)@ed</t>
  </si>
  <si>
    <t>skrmdb(y,n,x)</t>
  </si>
  <si>
    <t>d</t>
  </si>
  <si>
    <t>e</t>
  </si>
  <si>
    <t>f</t>
  </si>
  <si>
    <t>$ed</t>
  </si>
  <si>
    <t>@ed</t>
  </si>
  <si>
    <t/>
  </si>
  <si>
    <t>['ed']</t>
  </si>
  <si>
    <t>skrmdb(cbind(y, n)~log10(x), data)</t>
  </si>
  <si>
    <t>skrmdb(cbind(y, n)~x, data)</t>
  </si>
  <si>
    <t>skrmdb(y, n, x)</t>
  </si>
  <si>
    <t>skrmdb(cbind(data$y, data$n)~data$x, data)</t>
  </si>
  <si>
    <t>skrmdb(cbind(y, n)~log(x), data)</t>
  </si>
  <si>
    <t>skrmdb(cbind(y, n)~x, .)</t>
  </si>
  <si>
    <t>rev</t>
  </si>
  <si>
    <t>rev(..)</t>
  </si>
  <si>
    <t>not</t>
  </si>
  <si>
    <t>use</t>
  </si>
  <si>
    <t>access</t>
  </si>
  <si>
    <t>skrmdb(cbind(y, n)~-1 * x, data)</t>
  </si>
  <si>
    <t>y, n, x</t>
  </si>
  <si>
    <t>fn, data</t>
  </si>
  <si>
    <t>fn, data =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</si>
</sst>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F3D5-59C8-4DFB-83D8-2468F84C086A}">
  <dimension ref="A1:E56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4.42578125" bestFit="1" customWidth="1"/>
    <col min="2" max="2" width="76.85546875" bestFit="1" customWidth="1"/>
    <col min="3" max="3" width="8.42578125" bestFit="1" customWidth="1"/>
    <col min="4" max="4" width="12" customWidth="1"/>
    <col min="5" max="5" width="88.28515625" bestFit="1" customWidth="1"/>
  </cols>
  <sheetData>
    <row r="1" spans="1:5" x14ac:dyDescent="0.25">
      <c r="A1" t="s">
        <v>0</v>
      </c>
      <c r="B1" t="s">
        <v>1</v>
      </c>
      <c r="C1" s="1">
        <v>561</v>
      </c>
      <c r="D1" s="1">
        <f>COUNTIF(D2:D1000,"ok")</f>
        <v>561</v>
      </c>
      <c r="E1" s="2">
        <f>C1-D1</f>
        <v>0</v>
      </c>
    </row>
    <row r="2" spans="1:5" x14ac:dyDescent="0.25">
      <c r="A2">
        <v>865</v>
      </c>
      <c r="B2" t="s">
        <v>74</v>
      </c>
      <c r="C2" t="s">
        <v>195</v>
      </c>
      <c r="D2" t="s">
        <v>194</v>
      </c>
      <c r="E2" t="s">
        <v>226</v>
      </c>
    </row>
    <row r="3" spans="1:5" x14ac:dyDescent="0.25">
      <c r="A3">
        <v>762</v>
      </c>
      <c r="B3" t="s">
        <v>180</v>
      </c>
      <c r="C3" t="s">
        <v>195</v>
      </c>
      <c r="D3" t="s">
        <v>194</v>
      </c>
      <c r="E3" t="s">
        <v>226</v>
      </c>
    </row>
    <row r="4" spans="1:5" x14ac:dyDescent="0.25">
      <c r="A4">
        <v>748</v>
      </c>
      <c r="B4" t="s">
        <v>179</v>
      </c>
      <c r="C4" t="s">
        <v>195</v>
      </c>
      <c r="D4" t="s">
        <v>194</v>
      </c>
      <c r="E4" t="s">
        <v>226</v>
      </c>
    </row>
    <row r="5" spans="1:5" x14ac:dyDescent="0.25">
      <c r="A5">
        <v>744</v>
      </c>
      <c r="B5" t="s">
        <v>12</v>
      </c>
      <c r="C5" t="s">
        <v>195</v>
      </c>
      <c r="D5" t="s">
        <v>194</v>
      </c>
      <c r="E5" t="s">
        <v>225</v>
      </c>
    </row>
    <row r="6" spans="1:5" x14ac:dyDescent="0.25">
      <c r="A6">
        <v>737</v>
      </c>
      <c r="B6" t="s">
        <v>155</v>
      </c>
      <c r="C6" t="s">
        <v>195</v>
      </c>
      <c r="D6" t="s">
        <v>194</v>
      </c>
      <c r="E6" t="s">
        <v>225</v>
      </c>
    </row>
    <row r="7" spans="1:5" x14ac:dyDescent="0.25">
      <c r="A7">
        <v>976</v>
      </c>
      <c r="B7" t="s">
        <v>138</v>
      </c>
      <c r="C7" t="s">
        <v>195</v>
      </c>
      <c r="D7" t="s">
        <v>194</v>
      </c>
      <c r="E7" t="s">
        <v>225</v>
      </c>
    </row>
    <row r="8" spans="1:5" x14ac:dyDescent="0.25">
      <c r="A8">
        <v>782</v>
      </c>
      <c r="B8" t="s">
        <v>160</v>
      </c>
      <c r="C8" t="s">
        <v>195</v>
      </c>
      <c r="D8" t="s">
        <v>194</v>
      </c>
      <c r="E8" t="s">
        <v>225</v>
      </c>
    </row>
    <row r="9" spans="1:5" x14ac:dyDescent="0.25">
      <c r="A9">
        <v>743</v>
      </c>
      <c r="B9" t="s">
        <v>12</v>
      </c>
      <c r="C9" t="s">
        <v>195</v>
      </c>
      <c r="D9" t="s">
        <v>194</v>
      </c>
      <c r="E9" t="s">
        <v>225</v>
      </c>
    </row>
    <row r="10" spans="1:5" x14ac:dyDescent="0.25">
      <c r="A10">
        <v>884</v>
      </c>
      <c r="B10" t="s">
        <v>187</v>
      </c>
      <c r="C10" t="s">
        <v>195</v>
      </c>
      <c r="D10" t="s">
        <v>194</v>
      </c>
      <c r="E10" t="s">
        <v>225</v>
      </c>
    </row>
    <row r="11" spans="1:5" x14ac:dyDescent="0.25">
      <c r="A11">
        <v>885</v>
      </c>
      <c r="B11" t="s">
        <v>187</v>
      </c>
      <c r="C11" t="s">
        <v>195</v>
      </c>
      <c r="D11" t="s">
        <v>194</v>
      </c>
      <c r="E11" t="s">
        <v>225</v>
      </c>
    </row>
    <row r="12" spans="1:5" x14ac:dyDescent="0.25">
      <c r="A12">
        <v>886</v>
      </c>
      <c r="B12" t="s">
        <v>187</v>
      </c>
      <c r="C12" t="s">
        <v>195</v>
      </c>
      <c r="D12" t="s">
        <v>194</v>
      </c>
      <c r="E12" t="s">
        <v>225</v>
      </c>
    </row>
    <row r="13" spans="1:5" x14ac:dyDescent="0.25">
      <c r="A13">
        <v>887</v>
      </c>
      <c r="B13" t="s">
        <v>187</v>
      </c>
      <c r="C13" t="s">
        <v>195</v>
      </c>
      <c r="D13" t="s">
        <v>194</v>
      </c>
      <c r="E13" t="s">
        <v>225</v>
      </c>
    </row>
    <row r="14" spans="1:5" x14ac:dyDescent="0.25">
      <c r="B14" t="s">
        <v>69</v>
      </c>
      <c r="C14" t="s">
        <v>195</v>
      </c>
      <c r="D14" t="s">
        <v>194</v>
      </c>
      <c r="E14" t="s">
        <v>225</v>
      </c>
    </row>
    <row r="15" spans="1:5" x14ac:dyDescent="0.25">
      <c r="A15">
        <v>850</v>
      </c>
      <c r="B15" t="s">
        <v>69</v>
      </c>
      <c r="C15" t="s">
        <v>195</v>
      </c>
      <c r="D15" t="s">
        <v>194</v>
      </c>
      <c r="E15" t="s">
        <v>225</v>
      </c>
    </row>
    <row r="16" spans="1:5" x14ac:dyDescent="0.25">
      <c r="A16">
        <v>852</v>
      </c>
      <c r="B16" t="s">
        <v>69</v>
      </c>
      <c r="C16" t="s">
        <v>195</v>
      </c>
      <c r="D16" t="s">
        <v>194</v>
      </c>
      <c r="E16" t="s">
        <v>225</v>
      </c>
    </row>
    <row r="17" spans="1:5" x14ac:dyDescent="0.25">
      <c r="A17">
        <v>851</v>
      </c>
      <c r="B17" t="s">
        <v>69</v>
      </c>
      <c r="C17" t="s">
        <v>195</v>
      </c>
      <c r="D17" t="s">
        <v>194</v>
      </c>
      <c r="E17" t="s">
        <v>225</v>
      </c>
    </row>
    <row r="18" spans="1:5" x14ac:dyDescent="0.25">
      <c r="A18">
        <v>824</v>
      </c>
      <c r="B18" t="s">
        <v>61</v>
      </c>
      <c r="C18" t="s">
        <v>195</v>
      </c>
      <c r="D18" t="s">
        <v>194</v>
      </c>
      <c r="E18" t="s">
        <v>228</v>
      </c>
    </row>
    <row r="19" spans="1:5" x14ac:dyDescent="0.25">
      <c r="A19">
        <v>823</v>
      </c>
      <c r="B19" t="s">
        <v>61</v>
      </c>
      <c r="C19" t="s">
        <v>195</v>
      </c>
      <c r="D19" t="s">
        <v>194</v>
      </c>
      <c r="E19" t="s">
        <v>228</v>
      </c>
    </row>
    <row r="20" spans="1:5" x14ac:dyDescent="0.25">
      <c r="A20">
        <v>821</v>
      </c>
      <c r="B20" t="s">
        <v>61</v>
      </c>
      <c r="C20" t="s">
        <v>195</v>
      </c>
      <c r="D20" t="s">
        <v>194</v>
      </c>
      <c r="E20" t="s">
        <v>228</v>
      </c>
    </row>
    <row r="21" spans="1:5" x14ac:dyDescent="0.25">
      <c r="A21">
        <v>822</v>
      </c>
      <c r="B21" t="s">
        <v>61</v>
      </c>
      <c r="C21" t="s">
        <v>195</v>
      </c>
      <c r="D21" t="s">
        <v>194</v>
      </c>
      <c r="E21" t="s">
        <v>228</v>
      </c>
    </row>
    <row r="22" spans="1:5" x14ac:dyDescent="0.25">
      <c r="A22">
        <v>848</v>
      </c>
      <c r="B22" t="s">
        <v>68</v>
      </c>
      <c r="C22" t="s">
        <v>195</v>
      </c>
      <c r="D22" t="s">
        <v>194</v>
      </c>
      <c r="E22" t="s">
        <v>210</v>
      </c>
    </row>
    <row r="23" spans="1:5" x14ac:dyDescent="0.25">
      <c r="A23">
        <v>859</v>
      </c>
      <c r="B23" t="s">
        <v>186</v>
      </c>
      <c r="C23" t="s">
        <v>195</v>
      </c>
      <c r="D23" t="s">
        <v>194</v>
      </c>
      <c r="E23" t="s">
        <v>207</v>
      </c>
    </row>
    <row r="24" spans="1:5" x14ac:dyDescent="0.25">
      <c r="A24">
        <v>844</v>
      </c>
      <c r="B24" t="s">
        <v>182</v>
      </c>
      <c r="C24" t="s">
        <v>195</v>
      </c>
      <c r="D24" t="s">
        <v>194</v>
      </c>
      <c r="E24" t="s">
        <v>207</v>
      </c>
    </row>
    <row r="25" spans="1:5" x14ac:dyDescent="0.25">
      <c r="A25">
        <v>846</v>
      </c>
      <c r="B25" t="s">
        <v>183</v>
      </c>
      <c r="C25" t="s">
        <v>195</v>
      </c>
      <c r="D25" t="s">
        <v>194</v>
      </c>
      <c r="E25" t="s">
        <v>207</v>
      </c>
    </row>
    <row r="26" spans="1:5" x14ac:dyDescent="0.25">
      <c r="A26">
        <v>741</v>
      </c>
      <c r="B26" t="s">
        <v>12</v>
      </c>
      <c r="C26" t="s">
        <v>195</v>
      </c>
      <c r="D26" t="s">
        <v>194</v>
      </c>
      <c r="E26" t="s">
        <v>207</v>
      </c>
    </row>
    <row r="27" spans="1:5" x14ac:dyDescent="0.25">
      <c r="A27">
        <v>742</v>
      </c>
      <c r="B27" t="s">
        <v>12</v>
      </c>
      <c r="C27" t="s">
        <v>195</v>
      </c>
      <c r="D27" t="s">
        <v>194</v>
      </c>
      <c r="E27" t="s">
        <v>207</v>
      </c>
    </row>
    <row r="28" spans="1:5" x14ac:dyDescent="0.25">
      <c r="A28">
        <v>796</v>
      </c>
      <c r="B28" t="s">
        <v>36</v>
      </c>
      <c r="C28" t="s">
        <v>195</v>
      </c>
      <c r="D28" t="s">
        <v>194</v>
      </c>
      <c r="E28" t="s">
        <v>208</v>
      </c>
    </row>
    <row r="29" spans="1:5" x14ac:dyDescent="0.25">
      <c r="A29">
        <v>799</v>
      </c>
      <c r="B29" t="s">
        <v>37</v>
      </c>
      <c r="C29" t="s">
        <v>195</v>
      </c>
      <c r="D29" t="s">
        <v>194</v>
      </c>
      <c r="E29" t="s">
        <v>208</v>
      </c>
    </row>
    <row r="30" spans="1:5" x14ac:dyDescent="0.25">
      <c r="A30">
        <v>922</v>
      </c>
      <c r="B30" t="s">
        <v>173</v>
      </c>
      <c r="C30" t="s">
        <v>195</v>
      </c>
      <c r="D30" t="s">
        <v>194</v>
      </c>
      <c r="E30" t="s">
        <v>208</v>
      </c>
    </row>
    <row r="31" spans="1:5" x14ac:dyDescent="0.25">
      <c r="A31">
        <v>797</v>
      </c>
      <c r="B31" t="s">
        <v>36</v>
      </c>
      <c r="C31" t="s">
        <v>195</v>
      </c>
      <c r="D31" t="s">
        <v>194</v>
      </c>
      <c r="E31" t="s">
        <v>208</v>
      </c>
    </row>
    <row r="32" spans="1:5" x14ac:dyDescent="0.25">
      <c r="A32">
        <v>800</v>
      </c>
      <c r="B32" t="s">
        <v>37</v>
      </c>
      <c r="C32" t="s">
        <v>195</v>
      </c>
      <c r="D32" t="s">
        <v>194</v>
      </c>
      <c r="E32" t="s">
        <v>208</v>
      </c>
    </row>
    <row r="33" spans="1:5" x14ac:dyDescent="0.25">
      <c r="A33">
        <v>739</v>
      </c>
      <c r="B33" t="s">
        <v>11</v>
      </c>
      <c r="C33" t="s">
        <v>195</v>
      </c>
      <c r="D33" t="s">
        <v>194</v>
      </c>
      <c r="E33" t="s">
        <v>208</v>
      </c>
    </row>
    <row r="34" spans="1:5" x14ac:dyDescent="0.25">
      <c r="A34">
        <v>730</v>
      </c>
      <c r="B34" t="s">
        <v>8</v>
      </c>
      <c r="C34" t="s">
        <v>195</v>
      </c>
      <c r="D34" t="s">
        <v>194</v>
      </c>
      <c r="E34" t="s">
        <v>209</v>
      </c>
    </row>
    <row r="35" spans="1:5" x14ac:dyDescent="0.25">
      <c r="A35">
        <v>764</v>
      </c>
      <c r="B35" t="s">
        <v>17</v>
      </c>
      <c r="C35" t="s">
        <v>195</v>
      </c>
      <c r="D35" t="s">
        <v>194</v>
      </c>
      <c r="E35" t="s">
        <v>5</v>
      </c>
    </row>
    <row r="36" spans="1:5" x14ac:dyDescent="0.25">
      <c r="A36">
        <v>765</v>
      </c>
      <c r="B36" t="s">
        <v>17</v>
      </c>
      <c r="C36" t="s">
        <v>195</v>
      </c>
      <c r="D36" t="s">
        <v>194</v>
      </c>
      <c r="E36" t="s">
        <v>5</v>
      </c>
    </row>
    <row r="37" spans="1:5" x14ac:dyDescent="0.25">
      <c r="A37">
        <v>768</v>
      </c>
      <c r="B37" t="s">
        <v>18</v>
      </c>
      <c r="C37" t="s">
        <v>195</v>
      </c>
      <c r="D37" t="s">
        <v>194</v>
      </c>
      <c r="E37" t="s">
        <v>4</v>
      </c>
    </row>
    <row r="38" spans="1:5" x14ac:dyDescent="0.25">
      <c r="A38">
        <v>767</v>
      </c>
      <c r="B38" t="s">
        <v>18</v>
      </c>
      <c r="C38" t="s">
        <v>195</v>
      </c>
      <c r="D38" t="s">
        <v>194</v>
      </c>
      <c r="E38" t="s">
        <v>4</v>
      </c>
    </row>
    <row r="39" spans="1:5" x14ac:dyDescent="0.25">
      <c r="A39">
        <v>771</v>
      </c>
      <c r="B39" t="s">
        <v>19</v>
      </c>
      <c r="C39" t="s">
        <v>195</v>
      </c>
      <c r="D39" t="s">
        <v>194</v>
      </c>
      <c r="E39" t="s">
        <v>4</v>
      </c>
    </row>
    <row r="40" spans="1:5" x14ac:dyDescent="0.25">
      <c r="A40">
        <v>770</v>
      </c>
      <c r="B40" t="s">
        <v>19</v>
      </c>
      <c r="C40" t="s">
        <v>195</v>
      </c>
      <c r="D40" t="s">
        <v>194</v>
      </c>
      <c r="E40" t="s">
        <v>4</v>
      </c>
    </row>
    <row r="41" spans="1:5" x14ac:dyDescent="0.25">
      <c r="A41">
        <v>908</v>
      </c>
      <c r="B41" t="s">
        <v>87</v>
      </c>
      <c r="C41" t="s">
        <v>195</v>
      </c>
      <c r="D41" t="s">
        <v>194</v>
      </c>
      <c r="E41" t="s">
        <v>4</v>
      </c>
    </row>
    <row r="42" spans="1:5" x14ac:dyDescent="0.25">
      <c r="A42">
        <v>802</v>
      </c>
      <c r="B42" t="s">
        <v>39</v>
      </c>
      <c r="D42" t="s">
        <v>194</v>
      </c>
      <c r="E42" t="s">
        <v>197</v>
      </c>
    </row>
    <row r="43" spans="1:5" x14ac:dyDescent="0.25">
      <c r="A43">
        <v>811</v>
      </c>
      <c r="B43" t="s">
        <v>53</v>
      </c>
      <c r="D43" t="s">
        <v>194</v>
      </c>
      <c r="E43" t="s">
        <v>197</v>
      </c>
    </row>
    <row r="44" spans="1:5" x14ac:dyDescent="0.25">
      <c r="A44">
        <v>813</v>
      </c>
      <c r="B44" t="s">
        <v>54</v>
      </c>
      <c r="D44" t="s">
        <v>194</v>
      </c>
      <c r="E44" t="s">
        <v>197</v>
      </c>
    </row>
    <row r="45" spans="1:5" x14ac:dyDescent="0.25">
      <c r="A45">
        <v>815</v>
      </c>
      <c r="B45" t="s">
        <v>55</v>
      </c>
      <c r="D45" t="s">
        <v>194</v>
      </c>
      <c r="E45" t="s">
        <v>197</v>
      </c>
    </row>
    <row r="46" spans="1:5" x14ac:dyDescent="0.25">
      <c r="A46">
        <v>817</v>
      </c>
      <c r="B46" t="s">
        <v>56</v>
      </c>
      <c r="D46" t="s">
        <v>194</v>
      </c>
      <c r="E46" t="s">
        <v>197</v>
      </c>
    </row>
    <row r="47" spans="1:5" x14ac:dyDescent="0.25">
      <c r="A47">
        <v>863</v>
      </c>
      <c r="B47" t="s">
        <v>73</v>
      </c>
      <c r="D47" t="s">
        <v>194</v>
      </c>
      <c r="E47" t="s">
        <v>197</v>
      </c>
    </row>
    <row r="48" spans="1:5" x14ac:dyDescent="0.25">
      <c r="A48">
        <v>862</v>
      </c>
      <c r="B48" t="s">
        <v>73</v>
      </c>
      <c r="D48" t="s">
        <v>194</v>
      </c>
      <c r="E48" t="s">
        <v>197</v>
      </c>
    </row>
    <row r="49" spans="1:5" x14ac:dyDescent="0.25">
      <c r="A49">
        <v>899</v>
      </c>
      <c r="B49" t="s">
        <v>188</v>
      </c>
      <c r="D49" t="s">
        <v>194</v>
      </c>
      <c r="E49" t="s">
        <v>197</v>
      </c>
    </row>
    <row r="50" spans="1:5" x14ac:dyDescent="0.25">
      <c r="A50">
        <v>901</v>
      </c>
      <c r="B50" t="s">
        <v>189</v>
      </c>
      <c r="D50" t="s">
        <v>194</v>
      </c>
      <c r="E50" t="s">
        <v>197</v>
      </c>
    </row>
    <row r="51" spans="1:5" x14ac:dyDescent="0.25">
      <c r="A51">
        <v>903</v>
      </c>
      <c r="B51" t="s">
        <v>190</v>
      </c>
      <c r="D51" t="s">
        <v>194</v>
      </c>
      <c r="E51" t="s">
        <v>197</v>
      </c>
    </row>
    <row r="52" spans="1:5" x14ac:dyDescent="0.25">
      <c r="A52">
        <v>905</v>
      </c>
      <c r="B52" t="s">
        <v>191</v>
      </c>
      <c r="D52" t="s">
        <v>194</v>
      </c>
      <c r="E52" t="s">
        <v>197</v>
      </c>
    </row>
    <row r="53" spans="1:5" x14ac:dyDescent="0.25">
      <c r="A53">
        <v>967</v>
      </c>
      <c r="B53" t="s">
        <v>192</v>
      </c>
      <c r="D53" t="s">
        <v>194</v>
      </c>
      <c r="E53" t="s">
        <v>197</v>
      </c>
    </row>
    <row r="54" spans="1:5" x14ac:dyDescent="0.25">
      <c r="A54">
        <v>961</v>
      </c>
      <c r="B54" t="s">
        <v>192</v>
      </c>
      <c r="D54" t="s">
        <v>194</v>
      </c>
      <c r="E54" t="s">
        <v>197</v>
      </c>
    </row>
    <row r="55" spans="1:5" x14ac:dyDescent="0.25">
      <c r="A55">
        <v>962</v>
      </c>
      <c r="B55" t="s">
        <v>192</v>
      </c>
      <c r="D55" t="s">
        <v>194</v>
      </c>
      <c r="E55" t="s">
        <v>197</v>
      </c>
    </row>
    <row r="56" spans="1:5" x14ac:dyDescent="0.25">
      <c r="A56">
        <v>964</v>
      </c>
      <c r="B56" t="s">
        <v>192</v>
      </c>
      <c r="D56" t="s">
        <v>194</v>
      </c>
      <c r="E56" t="s">
        <v>197</v>
      </c>
    </row>
    <row r="57" spans="1:5" x14ac:dyDescent="0.25">
      <c r="A57">
        <v>963</v>
      </c>
      <c r="B57" t="s">
        <v>192</v>
      </c>
      <c r="D57" t="s">
        <v>194</v>
      </c>
      <c r="E57" t="s">
        <v>197</v>
      </c>
    </row>
    <row r="58" spans="1:5" x14ac:dyDescent="0.25">
      <c r="A58">
        <v>860</v>
      </c>
      <c r="B58" t="s">
        <v>186</v>
      </c>
      <c r="D58" t="s">
        <v>194</v>
      </c>
      <c r="E58" t="s">
        <v>197</v>
      </c>
    </row>
    <row r="59" spans="1:5" x14ac:dyDescent="0.25">
      <c r="A59">
        <v>966</v>
      </c>
      <c r="B59" t="s">
        <v>192</v>
      </c>
      <c r="D59" t="s">
        <v>194</v>
      </c>
      <c r="E59" t="s">
        <v>197</v>
      </c>
    </row>
    <row r="60" spans="1:5" x14ac:dyDescent="0.25">
      <c r="A60">
        <v>792</v>
      </c>
      <c r="B60" t="s">
        <v>31</v>
      </c>
      <c r="D60" t="s">
        <v>194</v>
      </c>
      <c r="E60" t="s">
        <v>198</v>
      </c>
    </row>
    <row r="61" spans="1:5" x14ac:dyDescent="0.25">
      <c r="A61">
        <v>773</v>
      </c>
      <c r="B61" t="s">
        <v>21</v>
      </c>
      <c r="D61" t="s">
        <v>194</v>
      </c>
      <c r="E61" t="s">
        <v>198</v>
      </c>
    </row>
    <row r="62" spans="1:5" x14ac:dyDescent="0.25">
      <c r="A62">
        <v>784</v>
      </c>
      <c r="B62" t="s">
        <v>24</v>
      </c>
      <c r="D62" t="s">
        <v>194</v>
      </c>
      <c r="E62" t="s">
        <v>198</v>
      </c>
    </row>
    <row r="63" spans="1:5" x14ac:dyDescent="0.25">
      <c r="A63">
        <v>954</v>
      </c>
      <c r="B63" t="s">
        <v>127</v>
      </c>
      <c r="D63" t="s">
        <v>194</v>
      </c>
      <c r="E63" t="s">
        <v>198</v>
      </c>
    </row>
    <row r="64" spans="1:5" x14ac:dyDescent="0.25">
      <c r="A64">
        <v>968</v>
      </c>
      <c r="B64" t="s">
        <v>192</v>
      </c>
      <c r="D64" t="s">
        <v>194</v>
      </c>
      <c r="E64" t="s">
        <v>198</v>
      </c>
    </row>
    <row r="65" spans="1:5" x14ac:dyDescent="0.25">
      <c r="A65">
        <v>965</v>
      </c>
      <c r="B65" t="s">
        <v>192</v>
      </c>
      <c r="D65" t="s">
        <v>194</v>
      </c>
      <c r="E65" t="s">
        <v>198</v>
      </c>
    </row>
    <row r="66" spans="1:5" x14ac:dyDescent="0.25">
      <c r="A66">
        <v>835</v>
      </c>
      <c r="B66" t="s">
        <v>181</v>
      </c>
      <c r="D66" t="s">
        <v>194</v>
      </c>
      <c r="E66" t="s">
        <v>198</v>
      </c>
    </row>
    <row r="67" spans="1:5" x14ac:dyDescent="0.25">
      <c r="A67">
        <v>836</v>
      </c>
      <c r="B67" t="s">
        <v>181</v>
      </c>
      <c r="D67" t="s">
        <v>194</v>
      </c>
      <c r="E67" t="s">
        <v>198</v>
      </c>
    </row>
    <row r="68" spans="1:5" x14ac:dyDescent="0.25">
      <c r="A68">
        <v>837</v>
      </c>
      <c r="B68" t="s">
        <v>181</v>
      </c>
      <c r="D68" t="s">
        <v>194</v>
      </c>
      <c r="E68" t="s">
        <v>198</v>
      </c>
    </row>
    <row r="69" spans="1:5" x14ac:dyDescent="0.25">
      <c r="A69">
        <v>838</v>
      </c>
      <c r="B69" t="s">
        <v>181</v>
      </c>
      <c r="D69" t="s">
        <v>194</v>
      </c>
      <c r="E69" t="s">
        <v>198</v>
      </c>
    </row>
    <row r="70" spans="1:5" x14ac:dyDescent="0.25">
      <c r="A70">
        <v>839</v>
      </c>
      <c r="B70" t="s">
        <v>181</v>
      </c>
      <c r="D70" t="s">
        <v>194</v>
      </c>
      <c r="E70" t="s">
        <v>198</v>
      </c>
    </row>
    <row r="71" spans="1:5" x14ac:dyDescent="0.25">
      <c r="A71">
        <v>840</v>
      </c>
      <c r="B71" t="s">
        <v>181</v>
      </c>
      <c r="D71" t="s">
        <v>194</v>
      </c>
      <c r="E71" t="s">
        <v>198</v>
      </c>
    </row>
    <row r="72" spans="1:5" x14ac:dyDescent="0.25">
      <c r="A72">
        <v>933</v>
      </c>
      <c r="B72" t="s">
        <v>114</v>
      </c>
      <c r="D72" t="s">
        <v>194</v>
      </c>
      <c r="E72" t="s">
        <v>198</v>
      </c>
    </row>
    <row r="73" spans="1:5" x14ac:dyDescent="0.25">
      <c r="A73">
        <v>832</v>
      </c>
      <c r="B73" t="s">
        <v>181</v>
      </c>
      <c r="D73" t="s">
        <v>194</v>
      </c>
      <c r="E73" t="s">
        <v>198</v>
      </c>
    </row>
    <row r="74" spans="1:5" x14ac:dyDescent="0.25">
      <c r="A74">
        <v>940</v>
      </c>
      <c r="B74" t="s">
        <v>116</v>
      </c>
      <c r="D74" t="s">
        <v>194</v>
      </c>
      <c r="E74" t="s">
        <v>198</v>
      </c>
    </row>
    <row r="75" spans="1:5" x14ac:dyDescent="0.25">
      <c r="A75">
        <v>941</v>
      </c>
      <c r="B75" t="s">
        <v>116</v>
      </c>
      <c r="D75" t="s">
        <v>194</v>
      </c>
      <c r="E75" t="s">
        <v>198</v>
      </c>
    </row>
    <row r="76" spans="1:5" x14ac:dyDescent="0.25">
      <c r="A76">
        <v>942</v>
      </c>
      <c r="B76" t="s">
        <v>116</v>
      </c>
      <c r="D76" t="s">
        <v>194</v>
      </c>
      <c r="E76" t="s">
        <v>198</v>
      </c>
    </row>
    <row r="77" spans="1:5" x14ac:dyDescent="0.25">
      <c r="A77">
        <v>735</v>
      </c>
      <c r="B77" t="s">
        <v>10</v>
      </c>
      <c r="D77" t="s">
        <v>194</v>
      </c>
      <c r="E77" t="s">
        <v>198</v>
      </c>
    </row>
    <row r="78" spans="1:5" x14ac:dyDescent="0.25">
      <c r="A78">
        <v>734</v>
      </c>
      <c r="B78" t="s">
        <v>10</v>
      </c>
      <c r="D78" t="s">
        <v>194</v>
      </c>
      <c r="E78" t="s">
        <v>198</v>
      </c>
    </row>
    <row r="79" spans="1:5" x14ac:dyDescent="0.25">
      <c r="A79">
        <v>755</v>
      </c>
      <c r="B79" t="s">
        <v>14</v>
      </c>
      <c r="D79" t="s">
        <v>194</v>
      </c>
      <c r="E79" t="s">
        <v>198</v>
      </c>
    </row>
    <row r="80" spans="1:5" x14ac:dyDescent="0.25">
      <c r="A80">
        <v>757</v>
      </c>
      <c r="B80" t="s">
        <v>15</v>
      </c>
      <c r="D80" t="s">
        <v>194</v>
      </c>
      <c r="E80" t="s">
        <v>198</v>
      </c>
    </row>
    <row r="81" spans="1:5" x14ac:dyDescent="0.25">
      <c r="A81">
        <v>914</v>
      </c>
      <c r="B81" t="s">
        <v>89</v>
      </c>
      <c r="D81" t="s">
        <v>194</v>
      </c>
      <c r="E81" t="s">
        <v>198</v>
      </c>
    </row>
    <row r="82" spans="1:5" x14ac:dyDescent="0.25">
      <c r="A82">
        <v>732</v>
      </c>
      <c r="B82" t="s">
        <v>154</v>
      </c>
      <c r="D82" t="s">
        <v>194</v>
      </c>
      <c r="E82" t="s">
        <v>198</v>
      </c>
    </row>
    <row r="83" spans="1:5" x14ac:dyDescent="0.25">
      <c r="A83">
        <v>776</v>
      </c>
      <c r="B83" t="s">
        <v>159</v>
      </c>
      <c r="D83" t="s">
        <v>194</v>
      </c>
      <c r="E83" t="s">
        <v>198</v>
      </c>
    </row>
    <row r="84" spans="1:5" x14ac:dyDescent="0.25">
      <c r="A84">
        <v>775</v>
      </c>
      <c r="B84" t="s">
        <v>159</v>
      </c>
      <c r="D84" t="s">
        <v>194</v>
      </c>
      <c r="E84" t="s">
        <v>198</v>
      </c>
    </row>
    <row r="85" spans="1:5" x14ac:dyDescent="0.25">
      <c r="A85">
        <v>778</v>
      </c>
      <c r="B85" t="s">
        <v>159</v>
      </c>
      <c r="D85" t="s">
        <v>194</v>
      </c>
      <c r="E85" t="s">
        <v>198</v>
      </c>
    </row>
    <row r="86" spans="1:5" x14ac:dyDescent="0.25">
      <c r="A86">
        <v>777</v>
      </c>
      <c r="B86" t="s">
        <v>159</v>
      </c>
      <c r="D86" t="s">
        <v>194</v>
      </c>
      <c r="E86" t="s">
        <v>198</v>
      </c>
    </row>
    <row r="87" spans="1:5" x14ac:dyDescent="0.25">
      <c r="A87">
        <v>828</v>
      </c>
      <c r="B87" t="s">
        <v>65</v>
      </c>
      <c r="D87" t="s">
        <v>194</v>
      </c>
      <c r="E87" t="s">
        <v>198</v>
      </c>
    </row>
    <row r="88" spans="1:5" x14ac:dyDescent="0.25">
      <c r="A88">
        <v>830</v>
      </c>
      <c r="B88" t="s">
        <v>66</v>
      </c>
      <c r="D88" t="s">
        <v>194</v>
      </c>
      <c r="E88" t="s">
        <v>198</v>
      </c>
    </row>
    <row r="89" spans="1:5" x14ac:dyDescent="0.25">
      <c r="A89">
        <v>875</v>
      </c>
      <c r="B89" t="s">
        <v>168</v>
      </c>
      <c r="D89" t="s">
        <v>194</v>
      </c>
      <c r="E89" t="s">
        <v>198</v>
      </c>
    </row>
    <row r="90" spans="1:5" x14ac:dyDescent="0.25">
      <c r="A90">
        <v>877</v>
      </c>
      <c r="B90" t="s">
        <v>169</v>
      </c>
      <c r="D90" t="s">
        <v>194</v>
      </c>
      <c r="E90" t="s">
        <v>198</v>
      </c>
    </row>
    <row r="91" spans="1:5" x14ac:dyDescent="0.25">
      <c r="A91">
        <v>882</v>
      </c>
      <c r="B91" t="s">
        <v>171</v>
      </c>
      <c r="D91" t="s">
        <v>194</v>
      </c>
      <c r="E91" t="s">
        <v>198</v>
      </c>
    </row>
    <row r="92" spans="1:5" x14ac:dyDescent="0.25">
      <c r="A92">
        <v>895</v>
      </c>
      <c r="B92" t="s">
        <v>79</v>
      </c>
      <c r="D92" t="s">
        <v>194</v>
      </c>
      <c r="E92" t="s">
        <v>198</v>
      </c>
    </row>
    <row r="93" spans="1:5" x14ac:dyDescent="0.25">
      <c r="A93">
        <v>974</v>
      </c>
      <c r="B93" t="s">
        <v>177</v>
      </c>
      <c r="D93" t="s">
        <v>194</v>
      </c>
      <c r="E93" t="s">
        <v>198</v>
      </c>
    </row>
    <row r="94" spans="1:5" x14ac:dyDescent="0.25">
      <c r="A94">
        <v>897</v>
      </c>
      <c r="B94" t="s">
        <v>81</v>
      </c>
      <c r="D94" t="s">
        <v>194</v>
      </c>
      <c r="E94" t="s">
        <v>198</v>
      </c>
    </row>
    <row r="95" spans="1:5" x14ac:dyDescent="0.25">
      <c r="A95">
        <v>857</v>
      </c>
      <c r="B95" t="s">
        <v>185</v>
      </c>
      <c r="D95" t="s">
        <v>194</v>
      </c>
      <c r="E95" t="s">
        <v>198</v>
      </c>
    </row>
    <row r="96" spans="1:5" x14ac:dyDescent="0.25">
      <c r="A96">
        <v>751</v>
      </c>
      <c r="B96" t="s">
        <v>157</v>
      </c>
      <c r="D96" t="s">
        <v>194</v>
      </c>
      <c r="E96" t="s">
        <v>198</v>
      </c>
    </row>
    <row r="97" spans="1:5" x14ac:dyDescent="0.25">
      <c r="A97">
        <v>752</v>
      </c>
      <c r="B97" t="s">
        <v>157</v>
      </c>
      <c r="D97" t="s">
        <v>194</v>
      </c>
      <c r="E97" t="s">
        <v>198</v>
      </c>
    </row>
    <row r="98" spans="1:5" x14ac:dyDescent="0.25">
      <c r="A98">
        <v>753</v>
      </c>
      <c r="B98" t="s">
        <v>157</v>
      </c>
      <c r="D98" t="s">
        <v>194</v>
      </c>
      <c r="E98" t="s">
        <v>198</v>
      </c>
    </row>
    <row r="99" spans="1:5" x14ac:dyDescent="0.25">
      <c r="A99">
        <v>750</v>
      </c>
      <c r="B99" t="s">
        <v>157</v>
      </c>
      <c r="D99" t="s">
        <v>194</v>
      </c>
      <c r="E99" t="s">
        <v>198</v>
      </c>
    </row>
    <row r="100" spans="1:5" x14ac:dyDescent="0.25">
      <c r="A100">
        <v>819</v>
      </c>
      <c r="B100" t="s">
        <v>57</v>
      </c>
      <c r="D100" t="s">
        <v>194</v>
      </c>
      <c r="E100" t="s">
        <v>198</v>
      </c>
    </row>
    <row r="101" spans="1:5" x14ac:dyDescent="0.25">
      <c r="A101">
        <v>855</v>
      </c>
      <c r="B101" t="s">
        <v>184</v>
      </c>
      <c r="D101" t="s">
        <v>194</v>
      </c>
      <c r="E101" t="s">
        <v>198</v>
      </c>
    </row>
    <row r="102" spans="1:5" x14ac:dyDescent="0.25">
      <c r="A102">
        <v>959</v>
      </c>
      <c r="B102" t="s">
        <v>128</v>
      </c>
      <c r="D102" t="s">
        <v>194</v>
      </c>
      <c r="E102" t="s">
        <v>198</v>
      </c>
    </row>
    <row r="103" spans="1:5" x14ac:dyDescent="0.25">
      <c r="A103">
        <v>938</v>
      </c>
      <c r="B103" t="s">
        <v>115</v>
      </c>
      <c r="D103" t="s">
        <v>194</v>
      </c>
      <c r="E103" t="s">
        <v>198</v>
      </c>
    </row>
    <row r="104" spans="1:5" x14ac:dyDescent="0.25">
      <c r="A104">
        <v>951</v>
      </c>
      <c r="B104" t="s">
        <v>123</v>
      </c>
      <c r="D104" t="s">
        <v>194</v>
      </c>
      <c r="E104" t="s">
        <v>198</v>
      </c>
    </row>
    <row r="105" spans="1:5" x14ac:dyDescent="0.25">
      <c r="A105">
        <v>935</v>
      </c>
      <c r="B105" t="s">
        <v>174</v>
      </c>
      <c r="D105" t="s">
        <v>194</v>
      </c>
      <c r="E105" t="s">
        <v>198</v>
      </c>
    </row>
    <row r="106" spans="1:5" x14ac:dyDescent="0.25">
      <c r="A106">
        <v>924</v>
      </c>
      <c r="B106" t="s">
        <v>108</v>
      </c>
      <c r="D106" t="s">
        <v>194</v>
      </c>
      <c r="E106" t="s">
        <v>198</v>
      </c>
    </row>
    <row r="107" spans="1:5" x14ac:dyDescent="0.25">
      <c r="A107">
        <v>925</v>
      </c>
      <c r="B107" t="s">
        <v>108</v>
      </c>
      <c r="D107" t="s">
        <v>194</v>
      </c>
      <c r="E107" t="s">
        <v>198</v>
      </c>
    </row>
    <row r="108" spans="1:5" x14ac:dyDescent="0.25">
      <c r="A108">
        <v>920</v>
      </c>
      <c r="B108" t="s">
        <v>92</v>
      </c>
      <c r="D108" t="s">
        <v>194</v>
      </c>
      <c r="E108" t="s">
        <v>198</v>
      </c>
    </row>
    <row r="109" spans="1:5" x14ac:dyDescent="0.25">
      <c r="A109">
        <v>953</v>
      </c>
      <c r="B109" t="s">
        <v>127</v>
      </c>
      <c r="D109" t="s">
        <v>194</v>
      </c>
      <c r="E109" t="s">
        <v>198</v>
      </c>
    </row>
    <row r="110" spans="1:5" x14ac:dyDescent="0.25">
      <c r="A110">
        <v>958</v>
      </c>
      <c r="B110" t="s">
        <v>128</v>
      </c>
      <c r="D110" t="s">
        <v>194</v>
      </c>
      <c r="E110" t="s">
        <v>198</v>
      </c>
    </row>
    <row r="111" spans="1:5" x14ac:dyDescent="0.25">
      <c r="A111">
        <v>943</v>
      </c>
      <c r="B111" t="s">
        <v>116</v>
      </c>
      <c r="D111" t="s">
        <v>194</v>
      </c>
      <c r="E111" t="s">
        <v>198</v>
      </c>
    </row>
    <row r="112" spans="1:5" x14ac:dyDescent="0.25">
      <c r="A112">
        <v>944</v>
      </c>
      <c r="B112" t="s">
        <v>116</v>
      </c>
      <c r="D112" t="s">
        <v>194</v>
      </c>
      <c r="E112" t="s">
        <v>198</v>
      </c>
    </row>
    <row r="113" spans="1:5" x14ac:dyDescent="0.25">
      <c r="A113">
        <v>946</v>
      </c>
      <c r="B113" t="s">
        <v>117</v>
      </c>
      <c r="D113" t="s">
        <v>194</v>
      </c>
      <c r="E113" t="s">
        <v>198</v>
      </c>
    </row>
    <row r="114" spans="1:5" x14ac:dyDescent="0.25">
      <c r="A114">
        <v>972</v>
      </c>
      <c r="B114" t="s">
        <v>176</v>
      </c>
      <c r="D114" t="s">
        <v>194</v>
      </c>
      <c r="E114" t="s">
        <v>198</v>
      </c>
    </row>
    <row r="115" spans="1:5" x14ac:dyDescent="0.25">
      <c r="A115">
        <v>929</v>
      </c>
      <c r="B115" t="s">
        <v>109</v>
      </c>
      <c r="D115" t="s">
        <v>194</v>
      </c>
      <c r="E115" t="s">
        <v>198</v>
      </c>
    </row>
    <row r="116" spans="1:5" x14ac:dyDescent="0.25">
      <c r="A116">
        <v>879</v>
      </c>
      <c r="B116" t="s">
        <v>170</v>
      </c>
      <c r="D116" t="s">
        <v>194</v>
      </c>
      <c r="E116" t="s">
        <v>198</v>
      </c>
    </row>
    <row r="117" spans="1:5" x14ac:dyDescent="0.25">
      <c r="A117">
        <v>880</v>
      </c>
      <c r="B117" t="s">
        <v>170</v>
      </c>
      <c r="D117" t="s">
        <v>194</v>
      </c>
      <c r="E117" t="s">
        <v>198</v>
      </c>
    </row>
    <row r="118" spans="1:5" x14ac:dyDescent="0.25">
      <c r="A118">
        <v>891</v>
      </c>
      <c r="B118" t="s">
        <v>172</v>
      </c>
      <c r="D118" t="s">
        <v>194</v>
      </c>
      <c r="E118" t="s">
        <v>198</v>
      </c>
    </row>
    <row r="119" spans="1:5" x14ac:dyDescent="0.25">
      <c r="A119">
        <v>889</v>
      </c>
      <c r="B119" t="s">
        <v>172</v>
      </c>
      <c r="D119" t="s">
        <v>194</v>
      </c>
      <c r="E119" t="s">
        <v>198</v>
      </c>
    </row>
    <row r="120" spans="1:5" x14ac:dyDescent="0.25">
      <c r="A120">
        <v>890</v>
      </c>
      <c r="B120" t="s">
        <v>172</v>
      </c>
      <c r="D120" t="s">
        <v>194</v>
      </c>
      <c r="E120" t="s">
        <v>198</v>
      </c>
    </row>
    <row r="121" spans="1:5" x14ac:dyDescent="0.25">
      <c r="A121">
        <v>982</v>
      </c>
      <c r="B121" t="s">
        <v>139</v>
      </c>
      <c r="D121" t="s">
        <v>194</v>
      </c>
      <c r="E121" t="s">
        <v>198</v>
      </c>
    </row>
    <row r="122" spans="1:5" x14ac:dyDescent="0.25">
      <c r="A122">
        <v>983</v>
      </c>
      <c r="B122" t="s">
        <v>139</v>
      </c>
      <c r="D122" t="s">
        <v>194</v>
      </c>
      <c r="E122" t="s">
        <v>198</v>
      </c>
    </row>
    <row r="123" spans="1:5" x14ac:dyDescent="0.25">
      <c r="A123">
        <v>984</v>
      </c>
      <c r="B123" t="s">
        <v>139</v>
      </c>
      <c r="D123" t="s">
        <v>194</v>
      </c>
      <c r="E123" t="s">
        <v>198</v>
      </c>
    </row>
    <row r="124" spans="1:5" x14ac:dyDescent="0.25">
      <c r="A124">
        <v>980</v>
      </c>
      <c r="B124" t="s">
        <v>139</v>
      </c>
      <c r="D124" t="s">
        <v>194</v>
      </c>
      <c r="E124" t="s">
        <v>198</v>
      </c>
    </row>
    <row r="125" spans="1:5" x14ac:dyDescent="0.25">
      <c r="A125">
        <v>981</v>
      </c>
      <c r="B125" t="s">
        <v>139</v>
      </c>
      <c r="D125" t="s">
        <v>194</v>
      </c>
      <c r="E125" t="s">
        <v>198</v>
      </c>
    </row>
    <row r="126" spans="1:5" x14ac:dyDescent="0.25">
      <c r="A126">
        <v>948</v>
      </c>
      <c r="B126" t="s">
        <v>122</v>
      </c>
      <c r="D126" t="s">
        <v>194</v>
      </c>
      <c r="E126" t="s">
        <v>198</v>
      </c>
    </row>
    <row r="127" spans="1:5" x14ac:dyDescent="0.25">
      <c r="A127">
        <v>978</v>
      </c>
      <c r="B127" t="s">
        <v>178</v>
      </c>
      <c r="D127" t="s">
        <v>194</v>
      </c>
      <c r="E127" t="s">
        <v>198</v>
      </c>
    </row>
    <row r="128" spans="1:5" x14ac:dyDescent="0.25">
      <c r="A128">
        <v>931</v>
      </c>
      <c r="B128" t="s">
        <v>113</v>
      </c>
      <c r="D128" t="s">
        <v>194</v>
      </c>
      <c r="E128" t="s">
        <v>198</v>
      </c>
    </row>
    <row r="129" spans="1:5" x14ac:dyDescent="0.25">
      <c r="B129" t="s">
        <v>193</v>
      </c>
      <c r="D129" t="s">
        <v>194</v>
      </c>
      <c r="E129" t="s">
        <v>198</v>
      </c>
    </row>
    <row r="130" spans="1:5" x14ac:dyDescent="0.25">
      <c r="A130">
        <v>937</v>
      </c>
      <c r="B130" t="s">
        <v>115</v>
      </c>
      <c r="D130" t="s">
        <v>194</v>
      </c>
      <c r="E130" t="s">
        <v>198</v>
      </c>
    </row>
    <row r="131" spans="1:5" x14ac:dyDescent="0.25">
      <c r="A131">
        <v>950</v>
      </c>
      <c r="B131" t="s">
        <v>123</v>
      </c>
      <c r="D131" t="s">
        <v>194</v>
      </c>
      <c r="E131" t="s">
        <v>198</v>
      </c>
    </row>
    <row r="132" spans="1:5" x14ac:dyDescent="0.25">
      <c r="A132">
        <v>956</v>
      </c>
      <c r="B132" t="s">
        <v>127</v>
      </c>
      <c r="D132" t="s">
        <v>194</v>
      </c>
      <c r="E132" t="s">
        <v>198</v>
      </c>
    </row>
    <row r="133" spans="1:5" x14ac:dyDescent="0.25">
      <c r="A133">
        <v>842</v>
      </c>
      <c r="B133" t="s">
        <v>164</v>
      </c>
      <c r="D133" t="s">
        <v>194</v>
      </c>
      <c r="E133" t="s">
        <v>198</v>
      </c>
    </row>
    <row r="134" spans="1:5" x14ac:dyDescent="0.25">
      <c r="A134">
        <v>916</v>
      </c>
      <c r="B134" t="s">
        <v>90</v>
      </c>
      <c r="D134" t="s">
        <v>194</v>
      </c>
      <c r="E134" t="s">
        <v>198</v>
      </c>
    </row>
    <row r="135" spans="1:5" x14ac:dyDescent="0.25">
      <c r="A135">
        <v>970</v>
      </c>
      <c r="B135" t="s">
        <v>135</v>
      </c>
      <c r="D135" t="s">
        <v>194</v>
      </c>
      <c r="E135" t="s">
        <v>198</v>
      </c>
    </row>
    <row r="136" spans="1:5" x14ac:dyDescent="0.25">
      <c r="A136">
        <v>918</v>
      </c>
      <c r="B136" t="s">
        <v>91</v>
      </c>
      <c r="D136" t="s">
        <v>194</v>
      </c>
      <c r="E136" t="s">
        <v>198</v>
      </c>
    </row>
    <row r="137" spans="1:5" x14ac:dyDescent="0.25">
      <c r="A137">
        <v>873</v>
      </c>
      <c r="B137" t="s">
        <v>167</v>
      </c>
      <c r="D137" t="s">
        <v>194</v>
      </c>
      <c r="E137" t="s">
        <v>198</v>
      </c>
    </row>
    <row r="138" spans="1:5" x14ac:dyDescent="0.25">
      <c r="A138">
        <v>833</v>
      </c>
      <c r="B138" t="s">
        <v>181</v>
      </c>
      <c r="D138" t="s">
        <v>194</v>
      </c>
      <c r="E138" t="s">
        <v>198</v>
      </c>
    </row>
    <row r="139" spans="1:5" x14ac:dyDescent="0.25">
      <c r="A139">
        <v>834</v>
      </c>
      <c r="B139" t="s">
        <v>181</v>
      </c>
      <c r="D139" t="s">
        <v>194</v>
      </c>
      <c r="E139" t="s">
        <v>198</v>
      </c>
    </row>
    <row r="140" spans="1:5" x14ac:dyDescent="0.25">
      <c r="A140">
        <v>955</v>
      </c>
      <c r="B140" t="s">
        <v>127</v>
      </c>
      <c r="D140" t="s">
        <v>194</v>
      </c>
      <c r="E140" t="s">
        <v>198</v>
      </c>
    </row>
    <row r="141" spans="1:5" x14ac:dyDescent="0.25">
      <c r="A141">
        <v>780</v>
      </c>
      <c r="B141" t="s">
        <v>22</v>
      </c>
      <c r="D141" t="s">
        <v>194</v>
      </c>
      <c r="E141" t="s">
        <v>198</v>
      </c>
    </row>
    <row r="142" spans="1:5" x14ac:dyDescent="0.25">
      <c r="A142">
        <v>4</v>
      </c>
      <c r="B142" t="s">
        <v>7</v>
      </c>
      <c r="C142" t="s">
        <v>195</v>
      </c>
      <c r="D142" t="s">
        <v>194</v>
      </c>
      <c r="E142" t="s">
        <v>232</v>
      </c>
    </row>
    <row r="143" spans="1:5" x14ac:dyDescent="0.25">
      <c r="A143">
        <v>593</v>
      </c>
      <c r="B143" t="s">
        <v>68</v>
      </c>
      <c r="C143" t="s">
        <v>195</v>
      </c>
      <c r="D143" t="s">
        <v>194</v>
      </c>
      <c r="E143" t="s">
        <v>215</v>
      </c>
    </row>
    <row r="144" spans="1:5" x14ac:dyDescent="0.25">
      <c r="A144">
        <v>603</v>
      </c>
      <c r="B144" t="s">
        <v>74</v>
      </c>
      <c r="C144" t="s">
        <v>195</v>
      </c>
      <c r="D144" t="s">
        <v>194</v>
      </c>
      <c r="E144" t="s">
        <v>214</v>
      </c>
    </row>
    <row r="145" spans="1:5" x14ac:dyDescent="0.25">
      <c r="A145">
        <v>493</v>
      </c>
      <c r="B145" t="s">
        <v>156</v>
      </c>
      <c r="C145" t="s">
        <v>195</v>
      </c>
      <c r="D145" t="s">
        <v>194</v>
      </c>
      <c r="E145" t="s">
        <v>214</v>
      </c>
    </row>
    <row r="146" spans="1:5" x14ac:dyDescent="0.25">
      <c r="A146">
        <v>670</v>
      </c>
      <c r="B146" t="s">
        <v>102</v>
      </c>
      <c r="C146" t="s">
        <v>195</v>
      </c>
      <c r="D146" t="s">
        <v>194</v>
      </c>
      <c r="E146" t="s">
        <v>214</v>
      </c>
    </row>
    <row r="147" spans="1:5" x14ac:dyDescent="0.25">
      <c r="A147">
        <v>486</v>
      </c>
      <c r="B147" t="s">
        <v>12</v>
      </c>
      <c r="C147" t="s">
        <v>195</v>
      </c>
      <c r="D147" t="s">
        <v>194</v>
      </c>
      <c r="E147" t="s">
        <v>214</v>
      </c>
    </row>
    <row r="148" spans="1:5" x14ac:dyDescent="0.25">
      <c r="A148">
        <v>487</v>
      </c>
      <c r="B148" t="s">
        <v>12</v>
      </c>
      <c r="C148" t="s">
        <v>195</v>
      </c>
      <c r="D148" t="s">
        <v>194</v>
      </c>
      <c r="E148" t="s">
        <v>214</v>
      </c>
    </row>
    <row r="149" spans="1:5" x14ac:dyDescent="0.25">
      <c r="A149">
        <v>508</v>
      </c>
      <c r="B149" t="s">
        <v>17</v>
      </c>
      <c r="C149" t="s">
        <v>195</v>
      </c>
      <c r="D149" t="s">
        <v>194</v>
      </c>
      <c r="E149" t="s">
        <v>214</v>
      </c>
    </row>
    <row r="150" spans="1:5" x14ac:dyDescent="0.25">
      <c r="A150">
        <v>509</v>
      </c>
      <c r="B150" t="s">
        <v>17</v>
      </c>
      <c r="C150" t="s">
        <v>195</v>
      </c>
      <c r="D150" t="s">
        <v>194</v>
      </c>
      <c r="E150" t="s">
        <v>214</v>
      </c>
    </row>
    <row r="151" spans="1:5" x14ac:dyDescent="0.25">
      <c r="A151">
        <v>482</v>
      </c>
      <c r="B151" t="s">
        <v>155</v>
      </c>
      <c r="C151" t="s">
        <v>195</v>
      </c>
      <c r="D151" t="s">
        <v>194</v>
      </c>
      <c r="E151" t="s">
        <v>212</v>
      </c>
    </row>
    <row r="152" spans="1:5" x14ac:dyDescent="0.25">
      <c r="A152">
        <v>717</v>
      </c>
      <c r="B152" t="s">
        <v>138</v>
      </c>
      <c r="C152" t="s">
        <v>195</v>
      </c>
      <c r="D152" t="s">
        <v>194</v>
      </c>
      <c r="E152" t="s">
        <v>212</v>
      </c>
    </row>
    <row r="153" spans="1:5" x14ac:dyDescent="0.25">
      <c r="A153">
        <v>489</v>
      </c>
      <c r="B153" t="s">
        <v>12</v>
      </c>
      <c r="C153" t="s">
        <v>195</v>
      </c>
      <c r="D153" t="s">
        <v>194</v>
      </c>
      <c r="E153" t="s">
        <v>212</v>
      </c>
    </row>
    <row r="154" spans="1:5" x14ac:dyDescent="0.25">
      <c r="A154">
        <v>532</v>
      </c>
      <c r="B154" t="s">
        <v>160</v>
      </c>
      <c r="C154" t="s">
        <v>195</v>
      </c>
      <c r="D154" t="s">
        <v>194</v>
      </c>
      <c r="E154" t="s">
        <v>212</v>
      </c>
    </row>
    <row r="155" spans="1:5" x14ac:dyDescent="0.25">
      <c r="A155">
        <v>488</v>
      </c>
      <c r="B155" t="s">
        <v>12</v>
      </c>
      <c r="C155" t="s">
        <v>195</v>
      </c>
      <c r="D155" t="s">
        <v>194</v>
      </c>
      <c r="E155" t="s">
        <v>212</v>
      </c>
    </row>
    <row r="156" spans="1:5" x14ac:dyDescent="0.25">
      <c r="B156" t="s">
        <v>69</v>
      </c>
      <c r="C156" t="s">
        <v>195</v>
      </c>
      <c r="D156" t="s">
        <v>194</v>
      </c>
      <c r="E156" t="s">
        <v>212</v>
      </c>
    </row>
    <row r="157" spans="1:5" x14ac:dyDescent="0.25">
      <c r="A157">
        <v>595</v>
      </c>
      <c r="B157" t="s">
        <v>69</v>
      </c>
      <c r="C157" t="s">
        <v>195</v>
      </c>
      <c r="D157" t="s">
        <v>194</v>
      </c>
      <c r="E157" t="s">
        <v>212</v>
      </c>
    </row>
    <row r="158" spans="1:5" x14ac:dyDescent="0.25">
      <c r="A158">
        <v>597</v>
      </c>
      <c r="B158" t="s">
        <v>69</v>
      </c>
      <c r="C158" t="s">
        <v>195</v>
      </c>
      <c r="D158" t="s">
        <v>194</v>
      </c>
      <c r="E158" t="s">
        <v>212</v>
      </c>
    </row>
    <row r="159" spans="1:5" x14ac:dyDescent="0.25">
      <c r="A159">
        <v>596</v>
      </c>
      <c r="B159" t="s">
        <v>69</v>
      </c>
      <c r="C159" t="s">
        <v>195</v>
      </c>
      <c r="D159" t="s">
        <v>194</v>
      </c>
      <c r="E159" t="s">
        <v>212</v>
      </c>
    </row>
    <row r="160" spans="1:5" x14ac:dyDescent="0.25">
      <c r="A160">
        <v>572</v>
      </c>
      <c r="B160" t="s">
        <v>162</v>
      </c>
      <c r="C160" t="s">
        <v>195</v>
      </c>
      <c r="D160" t="s">
        <v>194</v>
      </c>
      <c r="E160" t="s">
        <v>212</v>
      </c>
    </row>
    <row r="161" spans="1:5" x14ac:dyDescent="0.25">
      <c r="A161">
        <v>518</v>
      </c>
      <c r="B161" t="s">
        <v>20</v>
      </c>
      <c r="C161" t="s">
        <v>195</v>
      </c>
      <c r="D161" t="s">
        <v>194</v>
      </c>
      <c r="E161" t="s">
        <v>212</v>
      </c>
    </row>
    <row r="162" spans="1:5" x14ac:dyDescent="0.25">
      <c r="A162">
        <v>547</v>
      </c>
      <c r="B162" t="s">
        <v>36</v>
      </c>
      <c r="C162" t="s">
        <v>195</v>
      </c>
      <c r="D162" t="s">
        <v>194</v>
      </c>
      <c r="E162" t="s">
        <v>212</v>
      </c>
    </row>
    <row r="163" spans="1:5" x14ac:dyDescent="0.25">
      <c r="A163">
        <v>550</v>
      </c>
      <c r="B163" t="s">
        <v>37</v>
      </c>
      <c r="C163" t="s">
        <v>195</v>
      </c>
      <c r="D163" t="s">
        <v>194</v>
      </c>
      <c r="E163" t="s">
        <v>212</v>
      </c>
    </row>
    <row r="164" spans="1:5" x14ac:dyDescent="0.25">
      <c r="A164">
        <v>573</v>
      </c>
      <c r="B164" t="s">
        <v>162</v>
      </c>
      <c r="C164" t="s">
        <v>195</v>
      </c>
      <c r="D164" t="s">
        <v>194</v>
      </c>
      <c r="E164" t="s">
        <v>212</v>
      </c>
    </row>
    <row r="165" spans="1:5" x14ac:dyDescent="0.25">
      <c r="A165">
        <v>672</v>
      </c>
      <c r="B165" t="s">
        <v>173</v>
      </c>
      <c r="C165" t="s">
        <v>195</v>
      </c>
      <c r="D165" t="s">
        <v>194</v>
      </c>
      <c r="E165" t="s">
        <v>212</v>
      </c>
    </row>
    <row r="166" spans="1:5" x14ac:dyDescent="0.25">
      <c r="A166">
        <v>548</v>
      </c>
      <c r="B166" t="s">
        <v>36</v>
      </c>
      <c r="C166" t="s">
        <v>195</v>
      </c>
      <c r="D166" t="s">
        <v>194</v>
      </c>
      <c r="E166" t="s">
        <v>212</v>
      </c>
    </row>
    <row r="167" spans="1:5" x14ac:dyDescent="0.25">
      <c r="A167">
        <v>551</v>
      </c>
      <c r="B167" t="s">
        <v>37</v>
      </c>
      <c r="C167" t="s">
        <v>195</v>
      </c>
      <c r="D167" t="s">
        <v>194</v>
      </c>
      <c r="E167" t="s">
        <v>212</v>
      </c>
    </row>
    <row r="168" spans="1:5" x14ac:dyDescent="0.25">
      <c r="A168">
        <v>484</v>
      </c>
      <c r="B168" t="s">
        <v>11</v>
      </c>
      <c r="C168" t="s">
        <v>195</v>
      </c>
      <c r="D168" t="s">
        <v>194</v>
      </c>
      <c r="E168" t="s">
        <v>212</v>
      </c>
    </row>
    <row r="169" spans="1:5" x14ac:dyDescent="0.25">
      <c r="A169">
        <v>512</v>
      </c>
      <c r="B169" t="s">
        <v>18</v>
      </c>
      <c r="C169" t="s">
        <v>195</v>
      </c>
      <c r="D169" t="s">
        <v>194</v>
      </c>
      <c r="E169" t="s">
        <v>212</v>
      </c>
    </row>
    <row r="170" spans="1:5" x14ac:dyDescent="0.25">
      <c r="A170">
        <v>515</v>
      </c>
      <c r="B170" t="s">
        <v>19</v>
      </c>
      <c r="C170" t="s">
        <v>195</v>
      </c>
      <c r="D170" t="s">
        <v>194</v>
      </c>
      <c r="E170" t="s">
        <v>212</v>
      </c>
    </row>
    <row r="171" spans="1:5" x14ac:dyDescent="0.25">
      <c r="A171">
        <v>708</v>
      </c>
      <c r="B171" t="s">
        <v>175</v>
      </c>
      <c r="C171" t="s">
        <v>195</v>
      </c>
      <c r="D171" t="s">
        <v>194</v>
      </c>
      <c r="E171" t="s">
        <v>213</v>
      </c>
    </row>
    <row r="172" spans="1:5" x14ac:dyDescent="0.25">
      <c r="A172">
        <v>709</v>
      </c>
      <c r="B172" t="s">
        <v>175</v>
      </c>
      <c r="C172" t="s">
        <v>195</v>
      </c>
      <c r="D172" t="s">
        <v>194</v>
      </c>
      <c r="E172" t="s">
        <v>213</v>
      </c>
    </row>
    <row r="173" spans="1:5" x14ac:dyDescent="0.25">
      <c r="A173">
        <v>634</v>
      </c>
      <c r="B173" t="s">
        <v>83</v>
      </c>
      <c r="C173" t="s">
        <v>195</v>
      </c>
      <c r="D173" t="s">
        <v>194</v>
      </c>
      <c r="E173" t="s">
        <v>213</v>
      </c>
    </row>
    <row r="174" spans="1:5" x14ac:dyDescent="0.25">
      <c r="A174">
        <v>635</v>
      </c>
      <c r="B174" t="s">
        <v>83</v>
      </c>
      <c r="C174" t="s">
        <v>195</v>
      </c>
      <c r="D174" t="s">
        <v>194</v>
      </c>
      <c r="E174" t="s">
        <v>213</v>
      </c>
    </row>
    <row r="175" spans="1:5" x14ac:dyDescent="0.25">
      <c r="A175">
        <v>636</v>
      </c>
      <c r="B175" t="s">
        <v>83</v>
      </c>
      <c r="C175" t="s">
        <v>195</v>
      </c>
      <c r="D175" t="s">
        <v>194</v>
      </c>
      <c r="E175" t="s">
        <v>213</v>
      </c>
    </row>
    <row r="176" spans="1:5" x14ac:dyDescent="0.25">
      <c r="A176">
        <v>637</v>
      </c>
      <c r="B176" t="s">
        <v>83</v>
      </c>
      <c r="C176" t="s">
        <v>195</v>
      </c>
      <c r="D176" t="s">
        <v>194</v>
      </c>
      <c r="E176" t="s">
        <v>213</v>
      </c>
    </row>
    <row r="177" spans="1:5" x14ac:dyDescent="0.25">
      <c r="B177" t="s">
        <v>83</v>
      </c>
      <c r="C177" t="s">
        <v>195</v>
      </c>
      <c r="D177" t="s">
        <v>194</v>
      </c>
      <c r="E177" t="s">
        <v>213</v>
      </c>
    </row>
    <row r="178" spans="1:5" x14ac:dyDescent="0.25">
      <c r="A178">
        <v>643</v>
      </c>
      <c r="B178" t="s">
        <v>83</v>
      </c>
      <c r="C178" t="s">
        <v>195</v>
      </c>
      <c r="D178" t="s">
        <v>194</v>
      </c>
      <c r="E178" t="s">
        <v>213</v>
      </c>
    </row>
    <row r="179" spans="1:5" x14ac:dyDescent="0.25">
      <c r="B179" t="s">
        <v>83</v>
      </c>
      <c r="C179" t="s">
        <v>195</v>
      </c>
      <c r="D179" t="s">
        <v>194</v>
      </c>
      <c r="E179" t="s">
        <v>213</v>
      </c>
    </row>
    <row r="180" spans="1:5" x14ac:dyDescent="0.25">
      <c r="A180">
        <v>641</v>
      </c>
      <c r="B180" t="s">
        <v>83</v>
      </c>
      <c r="C180" t="s">
        <v>195</v>
      </c>
      <c r="D180" t="s">
        <v>194</v>
      </c>
      <c r="E180" t="s">
        <v>213</v>
      </c>
    </row>
    <row r="181" spans="1:5" x14ac:dyDescent="0.25">
      <c r="B181" t="s">
        <v>83</v>
      </c>
      <c r="C181" t="s">
        <v>195</v>
      </c>
      <c r="D181" t="s">
        <v>194</v>
      </c>
      <c r="E181" t="s">
        <v>213</v>
      </c>
    </row>
    <row r="182" spans="1:5" x14ac:dyDescent="0.25">
      <c r="A182">
        <v>639</v>
      </c>
      <c r="B182" t="s">
        <v>83</v>
      </c>
      <c r="C182" t="s">
        <v>195</v>
      </c>
      <c r="D182" t="s">
        <v>194</v>
      </c>
      <c r="E182" t="s">
        <v>213</v>
      </c>
    </row>
    <row r="183" spans="1:5" x14ac:dyDescent="0.25">
      <c r="B183" t="s">
        <v>83</v>
      </c>
      <c r="C183" t="s">
        <v>195</v>
      </c>
      <c r="D183" t="s">
        <v>194</v>
      </c>
      <c r="E183" t="s">
        <v>213</v>
      </c>
    </row>
    <row r="184" spans="1:5" x14ac:dyDescent="0.25">
      <c r="A184">
        <v>645</v>
      </c>
      <c r="B184" t="s">
        <v>83</v>
      </c>
      <c r="C184" t="s">
        <v>195</v>
      </c>
      <c r="D184" t="s">
        <v>194</v>
      </c>
      <c r="E184" t="s">
        <v>213</v>
      </c>
    </row>
    <row r="185" spans="1:5" x14ac:dyDescent="0.25">
      <c r="B185" t="s">
        <v>83</v>
      </c>
      <c r="C185" t="s">
        <v>195</v>
      </c>
      <c r="D185" t="s">
        <v>194</v>
      </c>
      <c r="E185" t="s">
        <v>213</v>
      </c>
    </row>
    <row r="186" spans="1:5" x14ac:dyDescent="0.25">
      <c r="A186">
        <v>632</v>
      </c>
      <c r="B186" t="s">
        <v>82</v>
      </c>
      <c r="C186" t="s">
        <v>195</v>
      </c>
      <c r="D186" t="s">
        <v>194</v>
      </c>
      <c r="E186" t="s">
        <v>213</v>
      </c>
    </row>
    <row r="187" spans="1:5" x14ac:dyDescent="0.25">
      <c r="A187">
        <v>466</v>
      </c>
      <c r="B187" t="s">
        <v>8</v>
      </c>
      <c r="C187" t="s">
        <v>195</v>
      </c>
      <c r="D187" t="s">
        <v>194</v>
      </c>
      <c r="E187" t="s">
        <v>211</v>
      </c>
    </row>
    <row r="188" spans="1:5" x14ac:dyDescent="0.25">
      <c r="A188">
        <v>553</v>
      </c>
      <c r="B188" t="s">
        <v>39</v>
      </c>
      <c r="D188" t="s">
        <v>194</v>
      </c>
      <c r="E188" t="s">
        <v>199</v>
      </c>
    </row>
    <row r="189" spans="1:5" x14ac:dyDescent="0.25">
      <c r="A189">
        <v>562</v>
      </c>
      <c r="B189" t="s">
        <v>53</v>
      </c>
      <c r="D189" t="s">
        <v>194</v>
      </c>
      <c r="E189" t="s">
        <v>199</v>
      </c>
    </row>
    <row r="190" spans="1:5" x14ac:dyDescent="0.25">
      <c r="A190">
        <v>564</v>
      </c>
      <c r="B190" t="s">
        <v>54</v>
      </c>
      <c r="D190" t="s">
        <v>194</v>
      </c>
      <c r="E190" t="s">
        <v>199</v>
      </c>
    </row>
    <row r="191" spans="1:5" x14ac:dyDescent="0.25">
      <c r="A191">
        <v>566</v>
      </c>
      <c r="B191" t="s">
        <v>55</v>
      </c>
      <c r="D191" t="s">
        <v>194</v>
      </c>
      <c r="E191" t="s">
        <v>199</v>
      </c>
    </row>
    <row r="192" spans="1:5" x14ac:dyDescent="0.25">
      <c r="A192">
        <v>568</v>
      </c>
      <c r="B192" t="s">
        <v>56</v>
      </c>
      <c r="D192" t="s">
        <v>194</v>
      </c>
      <c r="E192" t="s">
        <v>199</v>
      </c>
    </row>
    <row r="193" spans="1:5" x14ac:dyDescent="0.25">
      <c r="A193">
        <v>579</v>
      </c>
      <c r="B193" t="s">
        <v>6</v>
      </c>
      <c r="D193" t="s">
        <v>194</v>
      </c>
      <c r="E193" t="s">
        <v>199</v>
      </c>
    </row>
    <row r="194" spans="1:5" x14ac:dyDescent="0.25">
      <c r="A194">
        <v>580</v>
      </c>
      <c r="B194" t="s">
        <v>6</v>
      </c>
      <c r="D194" t="s">
        <v>194</v>
      </c>
      <c r="E194" t="s">
        <v>199</v>
      </c>
    </row>
    <row r="195" spans="1:5" x14ac:dyDescent="0.25">
      <c r="A195">
        <v>583</v>
      </c>
      <c r="B195" t="s">
        <v>163</v>
      </c>
      <c r="D195" t="s">
        <v>194</v>
      </c>
      <c r="E195" t="s">
        <v>199</v>
      </c>
    </row>
    <row r="196" spans="1:5" x14ac:dyDescent="0.25">
      <c r="A196">
        <v>582</v>
      </c>
      <c r="B196" t="s">
        <v>163</v>
      </c>
      <c r="D196" t="s">
        <v>194</v>
      </c>
      <c r="E196" t="s">
        <v>199</v>
      </c>
    </row>
    <row r="197" spans="1:5" x14ac:dyDescent="0.25">
      <c r="A197">
        <v>601</v>
      </c>
      <c r="B197" t="s">
        <v>73</v>
      </c>
      <c r="D197" t="s">
        <v>194</v>
      </c>
      <c r="E197" t="s">
        <v>199</v>
      </c>
    </row>
    <row r="198" spans="1:5" x14ac:dyDescent="0.25">
      <c r="A198">
        <v>600</v>
      </c>
      <c r="B198" t="s">
        <v>73</v>
      </c>
      <c r="D198" t="s">
        <v>194</v>
      </c>
      <c r="E198" t="s">
        <v>199</v>
      </c>
    </row>
    <row r="199" spans="1:5" x14ac:dyDescent="0.25">
      <c r="A199">
        <v>542</v>
      </c>
      <c r="B199" t="s">
        <v>31</v>
      </c>
      <c r="D199" t="s">
        <v>194</v>
      </c>
      <c r="E199" t="s">
        <v>200</v>
      </c>
    </row>
    <row r="200" spans="1:5" x14ac:dyDescent="0.25">
      <c r="A200">
        <v>520</v>
      </c>
      <c r="B200" t="s">
        <v>21</v>
      </c>
      <c r="D200" t="s">
        <v>194</v>
      </c>
      <c r="E200" t="s">
        <v>200</v>
      </c>
    </row>
    <row r="201" spans="1:5" x14ac:dyDescent="0.25">
      <c r="A201">
        <v>534</v>
      </c>
      <c r="B201" t="s">
        <v>24</v>
      </c>
      <c r="D201" t="s">
        <v>194</v>
      </c>
      <c r="E201" t="s">
        <v>200</v>
      </c>
    </row>
    <row r="202" spans="1:5" x14ac:dyDescent="0.25">
      <c r="A202">
        <v>701</v>
      </c>
      <c r="B202" t="s">
        <v>127</v>
      </c>
      <c r="D202" t="s">
        <v>194</v>
      </c>
      <c r="E202" t="s">
        <v>200</v>
      </c>
    </row>
    <row r="203" spans="1:5" x14ac:dyDescent="0.25">
      <c r="A203">
        <v>472</v>
      </c>
      <c r="B203" t="s">
        <v>153</v>
      </c>
      <c r="D203" t="s">
        <v>194</v>
      </c>
      <c r="E203" t="s">
        <v>200</v>
      </c>
    </row>
    <row r="204" spans="1:5" x14ac:dyDescent="0.25">
      <c r="A204">
        <v>473</v>
      </c>
      <c r="B204" t="s">
        <v>153</v>
      </c>
      <c r="D204" t="s">
        <v>194</v>
      </c>
      <c r="E204" t="s">
        <v>200</v>
      </c>
    </row>
    <row r="205" spans="1:5" x14ac:dyDescent="0.25">
      <c r="A205">
        <v>494</v>
      </c>
      <c r="B205" t="s">
        <v>156</v>
      </c>
      <c r="D205" t="s">
        <v>194</v>
      </c>
      <c r="E205" t="s">
        <v>200</v>
      </c>
    </row>
    <row r="206" spans="1:5" x14ac:dyDescent="0.25">
      <c r="A206">
        <v>469</v>
      </c>
      <c r="B206" t="s">
        <v>153</v>
      </c>
      <c r="D206" t="s">
        <v>194</v>
      </c>
      <c r="E206" t="s">
        <v>200</v>
      </c>
    </row>
    <row r="207" spans="1:5" x14ac:dyDescent="0.25">
      <c r="A207">
        <v>468</v>
      </c>
      <c r="B207" t="s">
        <v>153</v>
      </c>
      <c r="D207" t="s">
        <v>194</v>
      </c>
      <c r="E207" t="s">
        <v>200</v>
      </c>
    </row>
    <row r="208" spans="1:5" x14ac:dyDescent="0.25">
      <c r="A208">
        <v>470</v>
      </c>
      <c r="B208" t="s">
        <v>153</v>
      </c>
      <c r="D208" t="s">
        <v>194</v>
      </c>
      <c r="E208" t="s">
        <v>200</v>
      </c>
    </row>
    <row r="209" spans="1:5" x14ac:dyDescent="0.25">
      <c r="A209">
        <v>471</v>
      </c>
      <c r="B209" t="s">
        <v>153</v>
      </c>
      <c r="D209" t="s">
        <v>194</v>
      </c>
      <c r="E209" t="s">
        <v>200</v>
      </c>
    </row>
    <row r="210" spans="1:5" x14ac:dyDescent="0.25">
      <c r="A210">
        <v>681</v>
      </c>
      <c r="B210" t="s">
        <v>114</v>
      </c>
      <c r="D210" t="s">
        <v>194</v>
      </c>
      <c r="E210" t="s">
        <v>200</v>
      </c>
    </row>
    <row r="211" spans="1:5" x14ac:dyDescent="0.25">
      <c r="A211">
        <v>688</v>
      </c>
      <c r="B211" t="s">
        <v>116</v>
      </c>
      <c r="D211" t="s">
        <v>194</v>
      </c>
      <c r="E211" t="s">
        <v>200</v>
      </c>
    </row>
    <row r="212" spans="1:5" x14ac:dyDescent="0.25">
      <c r="A212">
        <v>689</v>
      </c>
      <c r="B212" t="s">
        <v>116</v>
      </c>
      <c r="D212" t="s">
        <v>194</v>
      </c>
      <c r="E212" t="s">
        <v>200</v>
      </c>
    </row>
    <row r="213" spans="1:5" x14ac:dyDescent="0.25">
      <c r="A213">
        <v>480</v>
      </c>
      <c r="B213" t="s">
        <v>10</v>
      </c>
      <c r="D213" t="s">
        <v>194</v>
      </c>
      <c r="E213" t="s">
        <v>200</v>
      </c>
    </row>
    <row r="214" spans="1:5" x14ac:dyDescent="0.25">
      <c r="A214">
        <v>479</v>
      </c>
      <c r="B214" t="s">
        <v>10</v>
      </c>
      <c r="D214" t="s">
        <v>194</v>
      </c>
      <c r="E214" t="s">
        <v>200</v>
      </c>
    </row>
    <row r="215" spans="1:5" x14ac:dyDescent="0.25">
      <c r="A215">
        <v>655</v>
      </c>
      <c r="B215" t="s">
        <v>89</v>
      </c>
      <c r="D215" t="s">
        <v>194</v>
      </c>
      <c r="E215" t="s">
        <v>200</v>
      </c>
    </row>
    <row r="216" spans="1:5" x14ac:dyDescent="0.25">
      <c r="A216">
        <v>477</v>
      </c>
      <c r="B216" t="s">
        <v>154</v>
      </c>
      <c r="D216" t="s">
        <v>194</v>
      </c>
      <c r="E216" t="s">
        <v>200</v>
      </c>
    </row>
    <row r="217" spans="1:5" x14ac:dyDescent="0.25">
      <c r="A217">
        <v>545</v>
      </c>
      <c r="B217" t="s">
        <v>161</v>
      </c>
      <c r="D217" t="s">
        <v>194</v>
      </c>
      <c r="E217" t="s">
        <v>200</v>
      </c>
    </row>
    <row r="218" spans="1:5" x14ac:dyDescent="0.25">
      <c r="A218">
        <v>587</v>
      </c>
      <c r="B218" t="s">
        <v>65</v>
      </c>
      <c r="D218" t="s">
        <v>194</v>
      </c>
      <c r="E218" t="s">
        <v>200</v>
      </c>
    </row>
    <row r="219" spans="1:5" x14ac:dyDescent="0.25">
      <c r="A219">
        <v>589</v>
      </c>
      <c r="B219" t="s">
        <v>66</v>
      </c>
      <c r="D219" t="s">
        <v>194</v>
      </c>
      <c r="E219" t="s">
        <v>200</v>
      </c>
    </row>
    <row r="220" spans="1:5" x14ac:dyDescent="0.25">
      <c r="A220">
        <v>613</v>
      </c>
      <c r="B220" t="s">
        <v>168</v>
      </c>
      <c r="D220" t="s">
        <v>194</v>
      </c>
      <c r="E220" t="s">
        <v>200</v>
      </c>
    </row>
    <row r="221" spans="1:5" x14ac:dyDescent="0.25">
      <c r="A221">
        <v>615</v>
      </c>
      <c r="B221" t="s">
        <v>169</v>
      </c>
      <c r="D221" t="s">
        <v>194</v>
      </c>
      <c r="E221" t="s">
        <v>200</v>
      </c>
    </row>
    <row r="222" spans="1:5" x14ac:dyDescent="0.25">
      <c r="A222">
        <v>620</v>
      </c>
      <c r="B222" t="s">
        <v>171</v>
      </c>
      <c r="D222" t="s">
        <v>194</v>
      </c>
      <c r="E222" t="s">
        <v>200</v>
      </c>
    </row>
    <row r="223" spans="1:5" x14ac:dyDescent="0.25">
      <c r="A223">
        <v>628</v>
      </c>
      <c r="B223" t="s">
        <v>79</v>
      </c>
      <c r="D223" t="s">
        <v>194</v>
      </c>
      <c r="E223" t="s">
        <v>200</v>
      </c>
    </row>
    <row r="224" spans="1:5" x14ac:dyDescent="0.25">
      <c r="A224">
        <v>715</v>
      </c>
      <c r="B224" t="s">
        <v>177</v>
      </c>
      <c r="D224" t="s">
        <v>194</v>
      </c>
      <c r="E224" t="s">
        <v>200</v>
      </c>
    </row>
    <row r="225" spans="1:5" x14ac:dyDescent="0.25">
      <c r="A225">
        <v>522</v>
      </c>
      <c r="B225" t="s">
        <v>158</v>
      </c>
      <c r="D225" t="s">
        <v>194</v>
      </c>
      <c r="E225" t="s">
        <v>200</v>
      </c>
    </row>
    <row r="226" spans="1:5" x14ac:dyDescent="0.25">
      <c r="A226">
        <v>523</v>
      </c>
      <c r="B226" t="s">
        <v>158</v>
      </c>
      <c r="D226" t="s">
        <v>194</v>
      </c>
      <c r="E226" t="s">
        <v>200</v>
      </c>
    </row>
    <row r="227" spans="1:5" x14ac:dyDescent="0.25">
      <c r="A227">
        <v>524</v>
      </c>
      <c r="B227" t="s">
        <v>158</v>
      </c>
      <c r="D227" t="s">
        <v>194</v>
      </c>
      <c r="E227" t="s">
        <v>200</v>
      </c>
    </row>
    <row r="228" spans="1:5" x14ac:dyDescent="0.25">
      <c r="A228">
        <v>525</v>
      </c>
      <c r="B228" t="s">
        <v>158</v>
      </c>
      <c r="D228" t="s">
        <v>194</v>
      </c>
      <c r="E228" t="s">
        <v>200</v>
      </c>
    </row>
    <row r="229" spans="1:5" x14ac:dyDescent="0.25">
      <c r="A229">
        <v>526</v>
      </c>
      <c r="B229" t="s">
        <v>158</v>
      </c>
      <c r="D229" t="s">
        <v>194</v>
      </c>
      <c r="E229" t="s">
        <v>200</v>
      </c>
    </row>
    <row r="230" spans="1:5" x14ac:dyDescent="0.25">
      <c r="A230">
        <v>630</v>
      </c>
      <c r="B230" t="s">
        <v>81</v>
      </c>
      <c r="D230" t="s">
        <v>194</v>
      </c>
      <c r="E230" t="s">
        <v>200</v>
      </c>
    </row>
    <row r="231" spans="1:5" x14ac:dyDescent="0.25">
      <c r="A231">
        <v>497</v>
      </c>
      <c r="B231" t="s">
        <v>157</v>
      </c>
      <c r="D231" t="s">
        <v>194</v>
      </c>
      <c r="E231" t="s">
        <v>200</v>
      </c>
    </row>
    <row r="232" spans="1:5" x14ac:dyDescent="0.25">
      <c r="A232">
        <v>498</v>
      </c>
      <c r="B232" t="s">
        <v>157</v>
      </c>
      <c r="D232" t="s">
        <v>194</v>
      </c>
      <c r="E232" t="s">
        <v>200</v>
      </c>
    </row>
    <row r="233" spans="1:5" x14ac:dyDescent="0.25">
      <c r="A233">
        <v>499</v>
      </c>
      <c r="B233" t="s">
        <v>157</v>
      </c>
      <c r="D233" t="s">
        <v>194</v>
      </c>
      <c r="E233" t="s">
        <v>200</v>
      </c>
    </row>
    <row r="234" spans="1:5" x14ac:dyDescent="0.25">
      <c r="A234">
        <v>496</v>
      </c>
      <c r="B234" t="s">
        <v>157</v>
      </c>
      <c r="D234" t="s">
        <v>194</v>
      </c>
      <c r="E234" t="s">
        <v>200</v>
      </c>
    </row>
    <row r="235" spans="1:5" x14ac:dyDescent="0.25">
      <c r="A235">
        <v>570</v>
      </c>
      <c r="B235" t="s">
        <v>57</v>
      </c>
      <c r="D235" t="s">
        <v>194</v>
      </c>
      <c r="E235" t="s">
        <v>200</v>
      </c>
    </row>
    <row r="236" spans="1:5" x14ac:dyDescent="0.25">
      <c r="A236">
        <v>706</v>
      </c>
      <c r="B236" t="s">
        <v>128</v>
      </c>
      <c r="D236" t="s">
        <v>194</v>
      </c>
      <c r="E236" t="s">
        <v>200</v>
      </c>
    </row>
    <row r="237" spans="1:5" x14ac:dyDescent="0.25">
      <c r="A237">
        <v>683</v>
      </c>
      <c r="B237" t="s">
        <v>174</v>
      </c>
      <c r="D237" t="s">
        <v>194</v>
      </c>
      <c r="E237" t="s">
        <v>200</v>
      </c>
    </row>
    <row r="238" spans="1:5" x14ac:dyDescent="0.25">
      <c r="A238">
        <v>686</v>
      </c>
      <c r="B238" t="s">
        <v>115</v>
      </c>
      <c r="D238" t="s">
        <v>194</v>
      </c>
      <c r="E238" t="s">
        <v>200</v>
      </c>
    </row>
    <row r="239" spans="1:5" x14ac:dyDescent="0.25">
      <c r="A239">
        <v>698</v>
      </c>
      <c r="B239" t="s">
        <v>123</v>
      </c>
      <c r="D239" t="s">
        <v>194</v>
      </c>
      <c r="E239" t="s">
        <v>200</v>
      </c>
    </row>
    <row r="240" spans="1:5" x14ac:dyDescent="0.25">
      <c r="A240">
        <v>674</v>
      </c>
      <c r="B240" t="s">
        <v>108</v>
      </c>
      <c r="D240" t="s">
        <v>194</v>
      </c>
      <c r="E240" t="s">
        <v>200</v>
      </c>
    </row>
    <row r="241" spans="1:5" x14ac:dyDescent="0.25">
      <c r="A241">
        <v>675</v>
      </c>
      <c r="B241" t="s">
        <v>108</v>
      </c>
      <c r="D241" t="s">
        <v>194</v>
      </c>
      <c r="E241" t="s">
        <v>200</v>
      </c>
    </row>
    <row r="242" spans="1:5" x14ac:dyDescent="0.25">
      <c r="A242">
        <v>661</v>
      </c>
      <c r="B242" t="s">
        <v>92</v>
      </c>
      <c r="D242" t="s">
        <v>194</v>
      </c>
      <c r="E242" t="s">
        <v>200</v>
      </c>
    </row>
    <row r="243" spans="1:5" x14ac:dyDescent="0.25">
      <c r="A243">
        <v>700</v>
      </c>
      <c r="B243" t="s">
        <v>127</v>
      </c>
      <c r="D243" t="s">
        <v>194</v>
      </c>
      <c r="E243" t="s">
        <v>200</v>
      </c>
    </row>
    <row r="244" spans="1:5" x14ac:dyDescent="0.25">
      <c r="A244">
        <v>705</v>
      </c>
      <c r="B244" t="s">
        <v>128</v>
      </c>
      <c r="D244" t="s">
        <v>194</v>
      </c>
      <c r="E244" t="s">
        <v>200</v>
      </c>
    </row>
    <row r="245" spans="1:5" x14ac:dyDescent="0.25">
      <c r="A245">
        <v>690</v>
      </c>
      <c r="B245" t="s">
        <v>116</v>
      </c>
      <c r="D245" t="s">
        <v>194</v>
      </c>
      <c r="E245" t="s">
        <v>200</v>
      </c>
    </row>
    <row r="246" spans="1:5" x14ac:dyDescent="0.25">
      <c r="A246">
        <v>691</v>
      </c>
      <c r="B246" t="s">
        <v>116</v>
      </c>
      <c r="D246" t="s">
        <v>194</v>
      </c>
      <c r="E246" t="s">
        <v>200</v>
      </c>
    </row>
    <row r="247" spans="1:5" x14ac:dyDescent="0.25">
      <c r="A247">
        <v>693</v>
      </c>
      <c r="B247" t="s">
        <v>117</v>
      </c>
      <c r="D247" t="s">
        <v>194</v>
      </c>
      <c r="E247" t="s">
        <v>200</v>
      </c>
    </row>
    <row r="248" spans="1:5" x14ac:dyDescent="0.25">
      <c r="A248">
        <v>713</v>
      </c>
      <c r="B248" t="s">
        <v>176</v>
      </c>
      <c r="D248" t="s">
        <v>194</v>
      </c>
      <c r="E248" t="s">
        <v>200</v>
      </c>
    </row>
    <row r="249" spans="1:5" x14ac:dyDescent="0.25">
      <c r="A249">
        <v>695</v>
      </c>
      <c r="B249" t="s">
        <v>122</v>
      </c>
      <c r="D249" t="s">
        <v>194</v>
      </c>
      <c r="E249" t="s">
        <v>200</v>
      </c>
    </row>
    <row r="250" spans="1:5" x14ac:dyDescent="0.25">
      <c r="A250">
        <v>719</v>
      </c>
      <c r="B250" t="s">
        <v>178</v>
      </c>
      <c r="D250" t="s">
        <v>194</v>
      </c>
      <c r="E250" t="s">
        <v>200</v>
      </c>
    </row>
    <row r="251" spans="1:5" x14ac:dyDescent="0.25">
      <c r="A251">
        <v>723</v>
      </c>
      <c r="B251" t="s">
        <v>139</v>
      </c>
      <c r="D251" t="s">
        <v>194</v>
      </c>
      <c r="E251" t="s">
        <v>200</v>
      </c>
    </row>
    <row r="252" spans="1:5" x14ac:dyDescent="0.25">
      <c r="A252">
        <v>724</v>
      </c>
      <c r="B252" t="s">
        <v>139</v>
      </c>
      <c r="D252" t="s">
        <v>194</v>
      </c>
      <c r="E252" t="s">
        <v>200</v>
      </c>
    </row>
    <row r="253" spans="1:5" x14ac:dyDescent="0.25">
      <c r="A253">
        <v>725</v>
      </c>
      <c r="B253" t="s">
        <v>139</v>
      </c>
      <c r="D253" t="s">
        <v>194</v>
      </c>
      <c r="E253" t="s">
        <v>200</v>
      </c>
    </row>
    <row r="254" spans="1:5" x14ac:dyDescent="0.25">
      <c r="A254">
        <v>721</v>
      </c>
      <c r="B254" t="s">
        <v>139</v>
      </c>
      <c r="D254" t="s">
        <v>194</v>
      </c>
      <c r="E254" t="s">
        <v>200</v>
      </c>
    </row>
    <row r="255" spans="1:5" x14ac:dyDescent="0.25">
      <c r="A255">
        <v>722</v>
      </c>
      <c r="B255" t="s">
        <v>139</v>
      </c>
      <c r="D255" t="s">
        <v>194</v>
      </c>
      <c r="E255" t="s">
        <v>200</v>
      </c>
    </row>
    <row r="256" spans="1:5" x14ac:dyDescent="0.25">
      <c r="A256">
        <v>679</v>
      </c>
      <c r="B256" t="s">
        <v>113</v>
      </c>
      <c r="D256" t="s">
        <v>194</v>
      </c>
      <c r="E256" t="s">
        <v>200</v>
      </c>
    </row>
    <row r="257" spans="1:5" x14ac:dyDescent="0.25">
      <c r="B257" t="s">
        <v>193</v>
      </c>
      <c r="D257" t="s">
        <v>194</v>
      </c>
      <c r="E257" t="s">
        <v>200</v>
      </c>
    </row>
    <row r="258" spans="1:5" x14ac:dyDescent="0.25">
      <c r="A258">
        <v>685</v>
      </c>
      <c r="B258" t="s">
        <v>115</v>
      </c>
      <c r="D258" t="s">
        <v>194</v>
      </c>
      <c r="E258" t="s">
        <v>200</v>
      </c>
    </row>
    <row r="259" spans="1:5" x14ac:dyDescent="0.25">
      <c r="A259">
        <v>697</v>
      </c>
      <c r="B259" t="s">
        <v>123</v>
      </c>
      <c r="D259" t="s">
        <v>194</v>
      </c>
      <c r="E259" t="s">
        <v>200</v>
      </c>
    </row>
    <row r="260" spans="1:5" x14ac:dyDescent="0.25">
      <c r="A260">
        <v>703</v>
      </c>
      <c r="B260" t="s">
        <v>127</v>
      </c>
      <c r="D260" t="s">
        <v>194</v>
      </c>
      <c r="E260" t="s">
        <v>200</v>
      </c>
    </row>
    <row r="261" spans="1:5" x14ac:dyDescent="0.25">
      <c r="A261">
        <v>657</v>
      </c>
      <c r="B261" t="s">
        <v>90</v>
      </c>
      <c r="D261" t="s">
        <v>194</v>
      </c>
      <c r="E261" t="s">
        <v>200</v>
      </c>
    </row>
    <row r="262" spans="1:5" x14ac:dyDescent="0.25">
      <c r="A262">
        <v>711</v>
      </c>
      <c r="B262" t="s">
        <v>135</v>
      </c>
      <c r="D262" t="s">
        <v>194</v>
      </c>
      <c r="E262" t="s">
        <v>200</v>
      </c>
    </row>
    <row r="263" spans="1:5" x14ac:dyDescent="0.25">
      <c r="A263">
        <v>659</v>
      </c>
      <c r="B263" t="s">
        <v>91</v>
      </c>
      <c r="D263" t="s">
        <v>194</v>
      </c>
      <c r="E263" t="s">
        <v>200</v>
      </c>
    </row>
    <row r="264" spans="1:5" x14ac:dyDescent="0.25">
      <c r="A264">
        <v>607</v>
      </c>
      <c r="B264" t="s">
        <v>165</v>
      </c>
      <c r="D264" t="s">
        <v>194</v>
      </c>
      <c r="E264" t="s">
        <v>200</v>
      </c>
    </row>
    <row r="265" spans="1:5" x14ac:dyDescent="0.25">
      <c r="A265">
        <v>609</v>
      </c>
      <c r="B265" t="s">
        <v>166</v>
      </c>
      <c r="D265" t="s">
        <v>194</v>
      </c>
      <c r="E265" t="s">
        <v>200</v>
      </c>
    </row>
    <row r="266" spans="1:5" x14ac:dyDescent="0.25">
      <c r="A266">
        <v>702</v>
      </c>
      <c r="B266" t="s">
        <v>127</v>
      </c>
      <c r="D266" t="s">
        <v>194</v>
      </c>
      <c r="E266" t="s">
        <v>200</v>
      </c>
    </row>
    <row r="267" spans="1:5" x14ac:dyDescent="0.25">
      <c r="A267">
        <v>530</v>
      </c>
      <c r="B267" t="s">
        <v>22</v>
      </c>
      <c r="D267" t="s">
        <v>194</v>
      </c>
      <c r="E267" t="s">
        <v>200</v>
      </c>
    </row>
    <row r="268" spans="1:5" x14ac:dyDescent="0.25">
      <c r="A268">
        <v>474</v>
      </c>
      <c r="B268" t="s">
        <v>153</v>
      </c>
      <c r="D268" t="s">
        <v>194</v>
      </c>
      <c r="E268" t="s">
        <v>200</v>
      </c>
    </row>
    <row r="269" spans="1:5" x14ac:dyDescent="0.25">
      <c r="A269">
        <v>475</v>
      </c>
      <c r="B269" t="s">
        <v>153</v>
      </c>
      <c r="D269" t="s">
        <v>194</v>
      </c>
      <c r="E269" t="s">
        <v>200</v>
      </c>
    </row>
    <row r="270" spans="1:5" x14ac:dyDescent="0.25">
      <c r="A270">
        <v>544</v>
      </c>
      <c r="B270" t="s">
        <v>161</v>
      </c>
      <c r="D270" t="s">
        <v>194</v>
      </c>
      <c r="E270" t="s">
        <v>201</v>
      </c>
    </row>
    <row r="271" spans="1:5" x14ac:dyDescent="0.25">
      <c r="A271">
        <v>277</v>
      </c>
      <c r="B271" t="s">
        <v>99</v>
      </c>
      <c r="C271" t="s">
        <v>195</v>
      </c>
      <c r="D271" t="s">
        <v>194</v>
      </c>
      <c r="E271" t="s">
        <v>224</v>
      </c>
    </row>
    <row r="272" spans="1:5" x14ac:dyDescent="0.25">
      <c r="A272">
        <v>423</v>
      </c>
      <c r="B272" t="s">
        <v>141</v>
      </c>
      <c r="C272" t="s">
        <v>195</v>
      </c>
      <c r="D272" t="s">
        <v>194</v>
      </c>
      <c r="E272" t="s">
        <v>223</v>
      </c>
    </row>
    <row r="273" spans="1:5" x14ac:dyDescent="0.25">
      <c r="A273">
        <v>425</v>
      </c>
      <c r="B273" t="s">
        <v>141</v>
      </c>
      <c r="C273" t="s">
        <v>195</v>
      </c>
      <c r="D273" t="s">
        <v>194</v>
      </c>
      <c r="E273" t="s">
        <v>223</v>
      </c>
    </row>
    <row r="274" spans="1:5" x14ac:dyDescent="0.25">
      <c r="A274">
        <v>422</v>
      </c>
      <c r="B274" t="s">
        <v>141</v>
      </c>
      <c r="C274" t="s">
        <v>195</v>
      </c>
      <c r="D274" t="s">
        <v>194</v>
      </c>
      <c r="E274" t="s">
        <v>223</v>
      </c>
    </row>
    <row r="275" spans="1:5" x14ac:dyDescent="0.25">
      <c r="A275">
        <v>424</v>
      </c>
      <c r="B275" t="s">
        <v>141</v>
      </c>
      <c r="C275" t="s">
        <v>195</v>
      </c>
      <c r="D275" t="s">
        <v>194</v>
      </c>
      <c r="E275" t="s">
        <v>223</v>
      </c>
    </row>
    <row r="276" spans="1:5" x14ac:dyDescent="0.25">
      <c r="A276">
        <v>179</v>
      </c>
      <c r="B276" t="s">
        <v>70</v>
      </c>
      <c r="C276" t="s">
        <v>195</v>
      </c>
      <c r="D276" t="s">
        <v>194</v>
      </c>
      <c r="E276" t="s">
        <v>223</v>
      </c>
    </row>
    <row r="277" spans="1:5" x14ac:dyDescent="0.25">
      <c r="A277">
        <v>162</v>
      </c>
      <c r="B277" t="s">
        <v>64</v>
      </c>
      <c r="C277" t="s">
        <v>195</v>
      </c>
      <c r="D277" t="s">
        <v>194</v>
      </c>
      <c r="E277" t="s">
        <v>223</v>
      </c>
    </row>
    <row r="278" spans="1:5" x14ac:dyDescent="0.25">
      <c r="A278">
        <v>178</v>
      </c>
      <c r="B278" t="s">
        <v>70</v>
      </c>
      <c r="C278" t="s">
        <v>195</v>
      </c>
      <c r="D278" t="s">
        <v>194</v>
      </c>
      <c r="E278" t="s">
        <v>231</v>
      </c>
    </row>
    <row r="279" spans="1:5" x14ac:dyDescent="0.25">
      <c r="A279">
        <v>155</v>
      </c>
      <c r="B279" t="s">
        <v>61</v>
      </c>
      <c r="D279" t="s">
        <v>194</v>
      </c>
      <c r="E279" t="s">
        <v>204</v>
      </c>
    </row>
    <row r="280" spans="1:5" x14ac:dyDescent="0.25">
      <c r="A280">
        <v>153</v>
      </c>
      <c r="B280" t="s">
        <v>61</v>
      </c>
      <c r="D280" t="s">
        <v>194</v>
      </c>
      <c r="E280" t="s">
        <v>204</v>
      </c>
    </row>
    <row r="281" spans="1:5" x14ac:dyDescent="0.25">
      <c r="A281">
        <v>154</v>
      </c>
      <c r="B281" t="s">
        <v>61</v>
      </c>
      <c r="D281" t="s">
        <v>194</v>
      </c>
      <c r="E281" t="s">
        <v>204</v>
      </c>
    </row>
    <row r="282" spans="1:5" x14ac:dyDescent="0.25">
      <c r="A282">
        <v>577</v>
      </c>
      <c r="B282" t="s">
        <v>61</v>
      </c>
      <c r="D282" t="s">
        <v>194</v>
      </c>
      <c r="E282" t="s">
        <v>204</v>
      </c>
    </row>
    <row r="283" spans="1:5" x14ac:dyDescent="0.25">
      <c r="A283">
        <v>575</v>
      </c>
      <c r="B283" t="s">
        <v>61</v>
      </c>
      <c r="D283" t="s">
        <v>194</v>
      </c>
      <c r="E283" t="s">
        <v>204</v>
      </c>
    </row>
    <row r="284" spans="1:5" x14ac:dyDescent="0.25">
      <c r="A284">
        <v>576</v>
      </c>
      <c r="B284" t="s">
        <v>61</v>
      </c>
      <c r="D284" t="s">
        <v>194</v>
      </c>
      <c r="E284" t="s">
        <v>204</v>
      </c>
    </row>
    <row r="285" spans="1:5" x14ac:dyDescent="0.25">
      <c r="A285">
        <v>287</v>
      </c>
      <c r="B285" t="s">
        <v>101</v>
      </c>
      <c r="C285" t="s">
        <v>195</v>
      </c>
      <c r="D285" t="s">
        <v>194</v>
      </c>
      <c r="E285" t="s">
        <v>227</v>
      </c>
    </row>
    <row r="286" spans="1:5" x14ac:dyDescent="0.25">
      <c r="A286">
        <v>288</v>
      </c>
      <c r="B286" t="s">
        <v>101</v>
      </c>
      <c r="C286" t="s">
        <v>195</v>
      </c>
      <c r="D286" t="s">
        <v>194</v>
      </c>
      <c r="E286" t="s">
        <v>227</v>
      </c>
    </row>
    <row r="287" spans="1:5" x14ac:dyDescent="0.25">
      <c r="A287">
        <v>428</v>
      </c>
      <c r="B287" t="s">
        <v>142</v>
      </c>
      <c r="C287" t="s">
        <v>195</v>
      </c>
      <c r="D287" t="s">
        <v>194</v>
      </c>
      <c r="E287" t="s">
        <v>227</v>
      </c>
    </row>
    <row r="288" spans="1:5" x14ac:dyDescent="0.25">
      <c r="A288">
        <v>427</v>
      </c>
      <c r="B288" t="s">
        <v>142</v>
      </c>
      <c r="C288" t="s">
        <v>195</v>
      </c>
      <c r="D288" t="s">
        <v>194</v>
      </c>
      <c r="E288" t="s">
        <v>227</v>
      </c>
    </row>
    <row r="289" spans="1:5" x14ac:dyDescent="0.25">
      <c r="A289">
        <v>149</v>
      </c>
      <c r="B289" t="s">
        <v>59</v>
      </c>
      <c r="C289" t="s">
        <v>195</v>
      </c>
      <c r="D289" t="s">
        <v>194</v>
      </c>
      <c r="E289" t="s">
        <v>227</v>
      </c>
    </row>
    <row r="290" spans="1:5" x14ac:dyDescent="0.25">
      <c r="A290">
        <v>189</v>
      </c>
      <c r="B290" t="s">
        <v>74</v>
      </c>
      <c r="C290" t="s">
        <v>195</v>
      </c>
      <c r="D290" t="s">
        <v>194</v>
      </c>
      <c r="E290" t="s">
        <v>227</v>
      </c>
    </row>
    <row r="291" spans="1:5" x14ac:dyDescent="0.25">
      <c r="A291">
        <v>181</v>
      </c>
      <c r="B291" t="s">
        <v>71</v>
      </c>
      <c r="C291" t="s">
        <v>195</v>
      </c>
      <c r="D291" t="s">
        <v>194</v>
      </c>
      <c r="E291" t="s">
        <v>227</v>
      </c>
    </row>
    <row r="292" spans="1:5" x14ac:dyDescent="0.25">
      <c r="A292">
        <v>119</v>
      </c>
      <c r="B292" t="s">
        <v>46</v>
      </c>
      <c r="C292" t="s">
        <v>195</v>
      </c>
      <c r="D292" t="s">
        <v>194</v>
      </c>
      <c r="E292" t="s">
        <v>227</v>
      </c>
    </row>
    <row r="293" spans="1:5" x14ac:dyDescent="0.25">
      <c r="A293">
        <v>123</v>
      </c>
      <c r="B293" t="s">
        <v>47</v>
      </c>
      <c r="C293" t="s">
        <v>195</v>
      </c>
      <c r="D293" t="s">
        <v>194</v>
      </c>
      <c r="E293" t="s">
        <v>227</v>
      </c>
    </row>
    <row r="294" spans="1:5" x14ac:dyDescent="0.25">
      <c r="A294">
        <v>79</v>
      </c>
      <c r="B294" t="s">
        <v>33</v>
      </c>
      <c r="C294" t="s">
        <v>195</v>
      </c>
      <c r="D294" t="s">
        <v>194</v>
      </c>
      <c r="E294" t="s">
        <v>227</v>
      </c>
    </row>
    <row r="295" spans="1:5" x14ac:dyDescent="0.25">
      <c r="A295">
        <v>85</v>
      </c>
      <c r="B295" t="s">
        <v>35</v>
      </c>
      <c r="C295" t="s">
        <v>195</v>
      </c>
      <c r="D295" t="s">
        <v>194</v>
      </c>
      <c r="E295" t="s">
        <v>227</v>
      </c>
    </row>
    <row r="296" spans="1:5" x14ac:dyDescent="0.25">
      <c r="A296">
        <v>115</v>
      </c>
      <c r="B296" t="s">
        <v>44</v>
      </c>
      <c r="C296" t="s">
        <v>195</v>
      </c>
      <c r="D296" t="s">
        <v>194</v>
      </c>
      <c r="E296" t="s">
        <v>227</v>
      </c>
    </row>
    <row r="297" spans="1:5" x14ac:dyDescent="0.25">
      <c r="A297">
        <v>445</v>
      </c>
      <c r="B297" t="s">
        <v>148</v>
      </c>
      <c r="C297" t="s">
        <v>195</v>
      </c>
      <c r="D297" t="s">
        <v>194</v>
      </c>
      <c r="E297" t="s">
        <v>227</v>
      </c>
    </row>
    <row r="298" spans="1:5" x14ac:dyDescent="0.25">
      <c r="A298">
        <v>438</v>
      </c>
      <c r="B298" t="s">
        <v>146</v>
      </c>
      <c r="C298" t="s">
        <v>195</v>
      </c>
      <c r="D298" t="s">
        <v>194</v>
      </c>
      <c r="E298" t="s">
        <v>227</v>
      </c>
    </row>
    <row r="299" spans="1:5" x14ac:dyDescent="0.25">
      <c r="A299">
        <v>443</v>
      </c>
      <c r="B299" t="s">
        <v>147</v>
      </c>
      <c r="C299" t="s">
        <v>195</v>
      </c>
      <c r="D299" t="s">
        <v>194</v>
      </c>
      <c r="E299" t="s">
        <v>227</v>
      </c>
    </row>
    <row r="300" spans="1:5" x14ac:dyDescent="0.25">
      <c r="A300">
        <v>286</v>
      </c>
      <c r="B300" t="s">
        <v>101</v>
      </c>
      <c r="C300" t="s">
        <v>195</v>
      </c>
      <c r="D300" t="s">
        <v>194</v>
      </c>
      <c r="E300" t="s">
        <v>227</v>
      </c>
    </row>
    <row r="301" spans="1:5" x14ac:dyDescent="0.25">
      <c r="A301">
        <v>129</v>
      </c>
      <c r="B301" t="s">
        <v>49</v>
      </c>
      <c r="C301" t="s">
        <v>195</v>
      </c>
      <c r="D301" t="s">
        <v>194</v>
      </c>
      <c r="E301" t="s">
        <v>227</v>
      </c>
    </row>
    <row r="302" spans="1:5" x14ac:dyDescent="0.25">
      <c r="A302">
        <v>131</v>
      </c>
      <c r="B302" t="s">
        <v>50</v>
      </c>
      <c r="C302" t="s">
        <v>195</v>
      </c>
      <c r="D302" t="s">
        <v>194</v>
      </c>
      <c r="E302" t="s">
        <v>227</v>
      </c>
    </row>
    <row r="303" spans="1:5" x14ac:dyDescent="0.25">
      <c r="A303">
        <v>290</v>
      </c>
      <c r="B303" t="s">
        <v>7</v>
      </c>
      <c r="C303" t="s">
        <v>195</v>
      </c>
      <c r="D303" t="s">
        <v>194</v>
      </c>
      <c r="E303" t="s">
        <v>227</v>
      </c>
    </row>
    <row r="304" spans="1:5" x14ac:dyDescent="0.25">
      <c r="A304">
        <v>20</v>
      </c>
      <c r="B304" t="s">
        <v>12</v>
      </c>
      <c r="C304" t="s">
        <v>195</v>
      </c>
      <c r="D304" t="s">
        <v>194</v>
      </c>
      <c r="E304" t="s">
        <v>227</v>
      </c>
    </row>
    <row r="305" spans="1:5" x14ac:dyDescent="0.25">
      <c r="A305">
        <v>21</v>
      </c>
      <c r="B305" t="s">
        <v>12</v>
      </c>
      <c r="C305" t="s">
        <v>195</v>
      </c>
      <c r="D305" t="s">
        <v>194</v>
      </c>
      <c r="E305" t="s">
        <v>227</v>
      </c>
    </row>
    <row r="306" spans="1:5" x14ac:dyDescent="0.25">
      <c r="A306">
        <v>407</v>
      </c>
      <c r="B306" t="s">
        <v>138</v>
      </c>
      <c r="C306" t="s">
        <v>195</v>
      </c>
      <c r="D306" t="s">
        <v>194</v>
      </c>
      <c r="E306" t="s">
        <v>205</v>
      </c>
    </row>
    <row r="307" spans="1:5" x14ac:dyDescent="0.25">
      <c r="A307">
        <v>24</v>
      </c>
      <c r="B307" t="s">
        <v>12</v>
      </c>
      <c r="C307" t="s">
        <v>195</v>
      </c>
      <c r="D307" t="s">
        <v>194</v>
      </c>
      <c r="E307" t="s">
        <v>205</v>
      </c>
    </row>
    <row r="308" spans="1:5" x14ac:dyDescent="0.25">
      <c r="A308">
        <v>23</v>
      </c>
      <c r="B308" t="s">
        <v>12</v>
      </c>
      <c r="C308" t="s">
        <v>195</v>
      </c>
      <c r="D308" t="s">
        <v>194</v>
      </c>
      <c r="E308" t="s">
        <v>205</v>
      </c>
    </row>
    <row r="309" spans="1:5" x14ac:dyDescent="0.25">
      <c r="A309">
        <v>175</v>
      </c>
      <c r="B309" t="s">
        <v>69</v>
      </c>
      <c r="C309" t="s">
        <v>195</v>
      </c>
      <c r="D309" t="s">
        <v>194</v>
      </c>
      <c r="E309" t="s">
        <v>205</v>
      </c>
    </row>
    <row r="310" spans="1:5" x14ac:dyDescent="0.25">
      <c r="A310">
        <v>176</v>
      </c>
      <c r="B310" t="s">
        <v>69</v>
      </c>
      <c r="C310" t="s">
        <v>195</v>
      </c>
      <c r="D310" t="s">
        <v>194</v>
      </c>
      <c r="E310" t="s">
        <v>205</v>
      </c>
    </row>
    <row r="311" spans="1:5" x14ac:dyDescent="0.25">
      <c r="A311">
        <v>303</v>
      </c>
      <c r="B311" t="s">
        <v>106</v>
      </c>
      <c r="C311" t="s">
        <v>195</v>
      </c>
      <c r="D311" t="s">
        <v>194</v>
      </c>
      <c r="E311" t="s">
        <v>205</v>
      </c>
    </row>
    <row r="312" spans="1:5" x14ac:dyDescent="0.25">
      <c r="A312">
        <v>456</v>
      </c>
      <c r="B312" t="s">
        <v>150</v>
      </c>
      <c r="C312" t="s">
        <v>195</v>
      </c>
      <c r="D312" t="s">
        <v>194</v>
      </c>
      <c r="E312" t="s">
        <v>221</v>
      </c>
    </row>
    <row r="313" spans="1:5" x14ac:dyDescent="0.25">
      <c r="A313">
        <v>173</v>
      </c>
      <c r="B313" t="s">
        <v>68</v>
      </c>
      <c r="C313" t="s">
        <v>195</v>
      </c>
      <c r="D313" t="s">
        <v>194</v>
      </c>
      <c r="E313" t="s">
        <v>217</v>
      </c>
    </row>
    <row r="314" spans="1:5" x14ac:dyDescent="0.25">
      <c r="A314">
        <v>65</v>
      </c>
      <c r="B314" t="s">
        <v>28</v>
      </c>
      <c r="C314" t="s">
        <v>195</v>
      </c>
      <c r="D314" t="s">
        <v>194</v>
      </c>
      <c r="E314" t="s">
        <v>216</v>
      </c>
    </row>
    <row r="315" spans="1:5" x14ac:dyDescent="0.25">
      <c r="A315">
        <v>387</v>
      </c>
      <c r="B315" t="s">
        <v>131</v>
      </c>
      <c r="C315" t="s">
        <v>195</v>
      </c>
      <c r="D315" t="s">
        <v>194</v>
      </c>
      <c r="E315" t="s">
        <v>216</v>
      </c>
    </row>
    <row r="316" spans="1:5" x14ac:dyDescent="0.25">
      <c r="A316">
        <v>383</v>
      </c>
      <c r="B316" t="s">
        <v>131</v>
      </c>
      <c r="C316" t="s">
        <v>195</v>
      </c>
      <c r="D316" t="s">
        <v>194</v>
      </c>
      <c r="E316" t="s">
        <v>216</v>
      </c>
    </row>
    <row r="317" spans="1:5" x14ac:dyDescent="0.25">
      <c r="A317">
        <v>385</v>
      </c>
      <c r="B317" t="s">
        <v>131</v>
      </c>
      <c r="C317" t="s">
        <v>195</v>
      </c>
      <c r="D317" t="s">
        <v>194</v>
      </c>
      <c r="E317" t="s">
        <v>216</v>
      </c>
    </row>
    <row r="318" spans="1:5" x14ac:dyDescent="0.25">
      <c r="A318">
        <v>371</v>
      </c>
      <c r="B318" t="s">
        <v>131</v>
      </c>
      <c r="C318" t="s">
        <v>195</v>
      </c>
      <c r="D318" t="s">
        <v>194</v>
      </c>
      <c r="E318" t="s">
        <v>216</v>
      </c>
    </row>
    <row r="319" spans="1:5" x14ac:dyDescent="0.25">
      <c r="A319">
        <v>372</v>
      </c>
      <c r="B319" t="s">
        <v>131</v>
      </c>
      <c r="C319" t="s">
        <v>195</v>
      </c>
      <c r="D319" t="s">
        <v>194</v>
      </c>
      <c r="E319" t="s">
        <v>216</v>
      </c>
    </row>
    <row r="320" spans="1:5" x14ac:dyDescent="0.25">
      <c r="A320">
        <v>373</v>
      </c>
      <c r="B320" t="s">
        <v>131</v>
      </c>
      <c r="C320" t="s">
        <v>195</v>
      </c>
      <c r="D320" t="s">
        <v>194</v>
      </c>
      <c r="E320" t="s">
        <v>216</v>
      </c>
    </row>
    <row r="321" spans="1:5" x14ac:dyDescent="0.25">
      <c r="A321">
        <v>374</v>
      </c>
      <c r="B321" t="s">
        <v>131</v>
      </c>
      <c r="C321" t="s">
        <v>195</v>
      </c>
      <c r="D321" t="s">
        <v>194</v>
      </c>
      <c r="E321" t="s">
        <v>216</v>
      </c>
    </row>
    <row r="322" spans="1:5" x14ac:dyDescent="0.25">
      <c r="A322">
        <v>376</v>
      </c>
      <c r="B322" t="s">
        <v>131</v>
      </c>
      <c r="C322" t="s">
        <v>195</v>
      </c>
      <c r="D322" t="s">
        <v>194</v>
      </c>
      <c r="E322" t="s">
        <v>216</v>
      </c>
    </row>
    <row r="323" spans="1:5" x14ac:dyDescent="0.25">
      <c r="A323">
        <v>378</v>
      </c>
      <c r="B323" t="s">
        <v>131</v>
      </c>
      <c r="C323" t="s">
        <v>195</v>
      </c>
      <c r="D323" t="s">
        <v>194</v>
      </c>
      <c r="E323" t="s">
        <v>216</v>
      </c>
    </row>
    <row r="324" spans="1:5" x14ac:dyDescent="0.25">
      <c r="A324">
        <v>380</v>
      </c>
      <c r="B324" t="s">
        <v>131</v>
      </c>
      <c r="C324" t="s">
        <v>195</v>
      </c>
      <c r="D324" t="s">
        <v>194</v>
      </c>
      <c r="E324" t="s">
        <v>216</v>
      </c>
    </row>
    <row r="325" spans="1:5" x14ac:dyDescent="0.25">
      <c r="A325">
        <v>381</v>
      </c>
      <c r="B325" t="s">
        <v>131</v>
      </c>
      <c r="C325" t="s">
        <v>195</v>
      </c>
      <c r="D325" t="s">
        <v>194</v>
      </c>
      <c r="E325" t="s">
        <v>216</v>
      </c>
    </row>
    <row r="326" spans="1:5" x14ac:dyDescent="0.25">
      <c r="A326">
        <v>451</v>
      </c>
      <c r="B326" t="s">
        <v>149</v>
      </c>
      <c r="C326" t="s">
        <v>195</v>
      </c>
      <c r="D326" t="s">
        <v>194</v>
      </c>
      <c r="E326" t="s">
        <v>216</v>
      </c>
    </row>
    <row r="327" spans="1:5" x14ac:dyDescent="0.25">
      <c r="A327">
        <v>452</v>
      </c>
      <c r="B327" t="s">
        <v>149</v>
      </c>
      <c r="C327" t="s">
        <v>195</v>
      </c>
      <c r="D327" t="s">
        <v>194</v>
      </c>
      <c r="E327" t="s">
        <v>216</v>
      </c>
    </row>
    <row r="328" spans="1:5" x14ac:dyDescent="0.25">
      <c r="A328">
        <v>449</v>
      </c>
      <c r="B328" t="s">
        <v>149</v>
      </c>
      <c r="C328" t="s">
        <v>195</v>
      </c>
      <c r="D328" t="s">
        <v>194</v>
      </c>
      <c r="E328" t="s">
        <v>216</v>
      </c>
    </row>
    <row r="329" spans="1:5" x14ac:dyDescent="0.25">
      <c r="A329">
        <v>450</v>
      </c>
      <c r="B329" t="s">
        <v>149</v>
      </c>
      <c r="C329" t="s">
        <v>195</v>
      </c>
      <c r="D329" t="s">
        <v>194</v>
      </c>
      <c r="E329" t="s">
        <v>216</v>
      </c>
    </row>
    <row r="330" spans="1:5" x14ac:dyDescent="0.25">
      <c r="A330">
        <v>433</v>
      </c>
      <c r="B330" t="s">
        <v>144</v>
      </c>
      <c r="C330" t="s">
        <v>195</v>
      </c>
      <c r="D330" t="s">
        <v>194</v>
      </c>
      <c r="E330" t="s">
        <v>216</v>
      </c>
    </row>
    <row r="331" spans="1:5" x14ac:dyDescent="0.25">
      <c r="A331">
        <v>295</v>
      </c>
      <c r="B331" t="s">
        <v>103</v>
      </c>
      <c r="C331" t="s">
        <v>195</v>
      </c>
      <c r="D331" t="s">
        <v>194</v>
      </c>
      <c r="E331" t="s">
        <v>216</v>
      </c>
    </row>
    <row r="332" spans="1:5" x14ac:dyDescent="0.25">
      <c r="A332">
        <v>271</v>
      </c>
      <c r="B332" t="s">
        <v>98</v>
      </c>
      <c r="C332" t="s">
        <v>195</v>
      </c>
      <c r="D332" t="s">
        <v>194</v>
      </c>
      <c r="E332" t="s">
        <v>216</v>
      </c>
    </row>
    <row r="333" spans="1:5" x14ac:dyDescent="0.25">
      <c r="A333">
        <v>274</v>
      </c>
      <c r="B333" t="s">
        <v>98</v>
      </c>
      <c r="C333" t="s">
        <v>195</v>
      </c>
      <c r="D333" t="s">
        <v>194</v>
      </c>
      <c r="E333" t="s">
        <v>216</v>
      </c>
    </row>
    <row r="334" spans="1:5" x14ac:dyDescent="0.25">
      <c r="A334">
        <v>269</v>
      </c>
      <c r="B334" t="s">
        <v>98</v>
      </c>
      <c r="C334" t="s">
        <v>195</v>
      </c>
      <c r="D334" t="s">
        <v>194</v>
      </c>
      <c r="E334" t="s">
        <v>216</v>
      </c>
    </row>
    <row r="335" spans="1:5" x14ac:dyDescent="0.25">
      <c r="A335">
        <v>272</v>
      </c>
      <c r="B335" t="s">
        <v>98</v>
      </c>
      <c r="C335" t="s">
        <v>195</v>
      </c>
      <c r="D335" t="s">
        <v>194</v>
      </c>
      <c r="E335" t="s">
        <v>216</v>
      </c>
    </row>
    <row r="336" spans="1:5" x14ac:dyDescent="0.25">
      <c r="A336">
        <v>270</v>
      </c>
      <c r="B336" t="s">
        <v>98</v>
      </c>
      <c r="C336" t="s">
        <v>195</v>
      </c>
      <c r="D336" t="s">
        <v>194</v>
      </c>
      <c r="E336" t="s">
        <v>216</v>
      </c>
    </row>
    <row r="337" spans="1:5" x14ac:dyDescent="0.25">
      <c r="A337">
        <v>273</v>
      </c>
      <c r="B337" t="s">
        <v>98</v>
      </c>
      <c r="C337" t="s">
        <v>195</v>
      </c>
      <c r="D337" t="s">
        <v>194</v>
      </c>
      <c r="E337" t="s">
        <v>216</v>
      </c>
    </row>
    <row r="338" spans="1:5" x14ac:dyDescent="0.25">
      <c r="A338">
        <v>448</v>
      </c>
      <c r="B338" t="s">
        <v>149</v>
      </c>
      <c r="C338" t="s">
        <v>195</v>
      </c>
      <c r="D338" t="s">
        <v>194</v>
      </c>
      <c r="E338" t="s">
        <v>216</v>
      </c>
    </row>
    <row r="339" spans="1:5" x14ac:dyDescent="0.25">
      <c r="A339">
        <v>259</v>
      </c>
      <c r="B339" t="s">
        <v>94</v>
      </c>
      <c r="C339" t="s">
        <v>195</v>
      </c>
      <c r="D339" t="s">
        <v>194</v>
      </c>
      <c r="E339" t="s">
        <v>216</v>
      </c>
    </row>
    <row r="340" spans="1:5" x14ac:dyDescent="0.25">
      <c r="A340">
        <v>260</v>
      </c>
      <c r="B340" t="s">
        <v>94</v>
      </c>
      <c r="C340" t="s">
        <v>195</v>
      </c>
      <c r="D340" t="s">
        <v>194</v>
      </c>
      <c r="E340" t="s">
        <v>216</v>
      </c>
    </row>
    <row r="341" spans="1:5" x14ac:dyDescent="0.25">
      <c r="A341">
        <v>275</v>
      </c>
      <c r="B341" t="s">
        <v>98</v>
      </c>
      <c r="C341" t="s">
        <v>195</v>
      </c>
      <c r="D341" t="s">
        <v>194</v>
      </c>
      <c r="E341" t="s">
        <v>216</v>
      </c>
    </row>
    <row r="342" spans="1:5" x14ac:dyDescent="0.25">
      <c r="A342">
        <v>365</v>
      </c>
      <c r="B342" t="s">
        <v>129</v>
      </c>
      <c r="C342" t="s">
        <v>195</v>
      </c>
      <c r="D342" t="s">
        <v>194</v>
      </c>
      <c r="E342" t="s">
        <v>216</v>
      </c>
    </row>
    <row r="343" spans="1:5" x14ac:dyDescent="0.25">
      <c r="A343">
        <v>366</v>
      </c>
      <c r="B343" t="s">
        <v>129</v>
      </c>
      <c r="C343" t="s">
        <v>195</v>
      </c>
      <c r="D343" t="s">
        <v>194</v>
      </c>
      <c r="E343" t="s">
        <v>216</v>
      </c>
    </row>
    <row r="344" spans="1:5" x14ac:dyDescent="0.25">
      <c r="A344">
        <v>436</v>
      </c>
      <c r="B344" t="s">
        <v>145</v>
      </c>
      <c r="C344" t="s">
        <v>195</v>
      </c>
      <c r="D344" t="s">
        <v>194</v>
      </c>
      <c r="E344" t="s">
        <v>216</v>
      </c>
    </row>
    <row r="345" spans="1:5" x14ac:dyDescent="0.25">
      <c r="A345">
        <v>265</v>
      </c>
      <c r="B345" t="s">
        <v>96</v>
      </c>
      <c r="C345" t="s">
        <v>195</v>
      </c>
      <c r="D345" t="s">
        <v>194</v>
      </c>
      <c r="E345" t="s">
        <v>216</v>
      </c>
    </row>
    <row r="346" spans="1:5" x14ac:dyDescent="0.25">
      <c r="A346">
        <v>264</v>
      </c>
      <c r="B346" t="s">
        <v>96</v>
      </c>
      <c r="C346" t="s">
        <v>195</v>
      </c>
      <c r="D346" t="s">
        <v>194</v>
      </c>
      <c r="E346" t="s">
        <v>216</v>
      </c>
    </row>
    <row r="347" spans="1:5" x14ac:dyDescent="0.25">
      <c r="A347">
        <v>66</v>
      </c>
      <c r="B347" t="s">
        <v>28</v>
      </c>
      <c r="C347" t="s">
        <v>195</v>
      </c>
      <c r="D347" t="s">
        <v>194</v>
      </c>
      <c r="E347" t="s">
        <v>216</v>
      </c>
    </row>
    <row r="348" spans="1:5" x14ac:dyDescent="0.25">
      <c r="A348">
        <v>121</v>
      </c>
      <c r="B348" t="s">
        <v>46</v>
      </c>
      <c r="C348" t="s">
        <v>195</v>
      </c>
      <c r="D348" t="s">
        <v>194</v>
      </c>
      <c r="E348" t="s">
        <v>216</v>
      </c>
    </row>
    <row r="349" spans="1:5" x14ac:dyDescent="0.25">
      <c r="A349">
        <v>236</v>
      </c>
      <c r="B349" t="s">
        <v>86</v>
      </c>
      <c r="C349" t="s">
        <v>195</v>
      </c>
      <c r="D349" t="s">
        <v>194</v>
      </c>
      <c r="E349" t="s">
        <v>216</v>
      </c>
    </row>
    <row r="350" spans="1:5" x14ac:dyDescent="0.25">
      <c r="A350">
        <v>255</v>
      </c>
      <c r="B350" t="s">
        <v>93</v>
      </c>
      <c r="C350" t="s">
        <v>195</v>
      </c>
      <c r="D350" t="s">
        <v>194</v>
      </c>
      <c r="E350" t="s">
        <v>216</v>
      </c>
    </row>
    <row r="351" spans="1:5" x14ac:dyDescent="0.25">
      <c r="A351">
        <v>256</v>
      </c>
      <c r="B351" t="s">
        <v>93</v>
      </c>
      <c r="C351" t="s">
        <v>195</v>
      </c>
      <c r="D351" t="s">
        <v>194</v>
      </c>
      <c r="E351" t="s">
        <v>216</v>
      </c>
    </row>
    <row r="352" spans="1:5" x14ac:dyDescent="0.25">
      <c r="A352">
        <v>253</v>
      </c>
      <c r="B352" t="s">
        <v>93</v>
      </c>
      <c r="C352" t="s">
        <v>195</v>
      </c>
      <c r="D352" t="s">
        <v>194</v>
      </c>
      <c r="E352" t="s">
        <v>216</v>
      </c>
    </row>
    <row r="353" spans="1:5" x14ac:dyDescent="0.25">
      <c r="A353">
        <v>254</v>
      </c>
      <c r="B353" t="s">
        <v>93</v>
      </c>
      <c r="C353" t="s">
        <v>195</v>
      </c>
      <c r="D353" t="s">
        <v>194</v>
      </c>
      <c r="E353" t="s">
        <v>216</v>
      </c>
    </row>
    <row r="354" spans="1:5" x14ac:dyDescent="0.25">
      <c r="A354">
        <v>227</v>
      </c>
      <c r="B354" t="s">
        <v>84</v>
      </c>
      <c r="C354" t="s">
        <v>195</v>
      </c>
      <c r="D354" t="s">
        <v>194</v>
      </c>
      <c r="E354" t="s">
        <v>216</v>
      </c>
    </row>
    <row r="355" spans="1:5" x14ac:dyDescent="0.25">
      <c r="A355">
        <v>230</v>
      </c>
      <c r="B355" t="s">
        <v>84</v>
      </c>
      <c r="C355" t="s">
        <v>195</v>
      </c>
      <c r="D355" t="s">
        <v>194</v>
      </c>
      <c r="E355" t="s">
        <v>216</v>
      </c>
    </row>
    <row r="356" spans="1:5" x14ac:dyDescent="0.25">
      <c r="A356">
        <v>83</v>
      </c>
      <c r="B356" t="s">
        <v>35</v>
      </c>
      <c r="C356" t="s">
        <v>195</v>
      </c>
      <c r="D356" t="s">
        <v>194</v>
      </c>
      <c r="E356" t="s">
        <v>216</v>
      </c>
    </row>
    <row r="357" spans="1:5" x14ac:dyDescent="0.25">
      <c r="A357">
        <v>84</v>
      </c>
      <c r="B357" t="s">
        <v>35</v>
      </c>
      <c r="C357" t="s">
        <v>195</v>
      </c>
      <c r="D357" t="s">
        <v>194</v>
      </c>
      <c r="E357" t="s">
        <v>216</v>
      </c>
    </row>
    <row r="358" spans="1:5" x14ac:dyDescent="0.25">
      <c r="A358">
        <v>86</v>
      </c>
      <c r="B358" t="s">
        <v>35</v>
      </c>
      <c r="C358" t="s">
        <v>195</v>
      </c>
      <c r="D358" t="s">
        <v>194</v>
      </c>
      <c r="E358" t="s">
        <v>216</v>
      </c>
    </row>
    <row r="359" spans="1:5" x14ac:dyDescent="0.25">
      <c r="A359">
        <v>446</v>
      </c>
      <c r="B359" t="s">
        <v>148</v>
      </c>
      <c r="C359" t="s">
        <v>195</v>
      </c>
      <c r="D359" t="s">
        <v>194</v>
      </c>
      <c r="E359" t="s">
        <v>216</v>
      </c>
    </row>
    <row r="360" spans="1:5" x14ac:dyDescent="0.25">
      <c r="A360">
        <v>440</v>
      </c>
      <c r="B360" t="s">
        <v>147</v>
      </c>
      <c r="C360" t="s">
        <v>195</v>
      </c>
      <c r="D360" t="s">
        <v>194</v>
      </c>
      <c r="E360" t="s">
        <v>216</v>
      </c>
    </row>
    <row r="361" spans="1:5" x14ac:dyDescent="0.25">
      <c r="A361">
        <v>441</v>
      </c>
      <c r="B361" t="s">
        <v>147</v>
      </c>
      <c r="C361" t="s">
        <v>195</v>
      </c>
      <c r="D361" t="s">
        <v>194</v>
      </c>
      <c r="E361" t="s">
        <v>216</v>
      </c>
    </row>
    <row r="362" spans="1:5" x14ac:dyDescent="0.25">
      <c r="A362">
        <v>442</v>
      </c>
      <c r="B362" t="s">
        <v>147</v>
      </c>
      <c r="C362" t="s">
        <v>195</v>
      </c>
      <c r="D362" t="s">
        <v>194</v>
      </c>
      <c r="E362" t="s">
        <v>216</v>
      </c>
    </row>
    <row r="363" spans="1:5" x14ac:dyDescent="0.25">
      <c r="A363">
        <v>120</v>
      </c>
      <c r="B363" t="s">
        <v>46</v>
      </c>
      <c r="C363" t="s">
        <v>195</v>
      </c>
      <c r="D363" t="s">
        <v>194</v>
      </c>
      <c r="E363" t="s">
        <v>216</v>
      </c>
    </row>
    <row r="364" spans="1:5" x14ac:dyDescent="0.25">
      <c r="A364">
        <v>124</v>
      </c>
      <c r="B364" t="s">
        <v>47</v>
      </c>
      <c r="C364" t="s">
        <v>195</v>
      </c>
      <c r="D364" t="s">
        <v>194</v>
      </c>
      <c r="E364" t="s">
        <v>216</v>
      </c>
    </row>
    <row r="365" spans="1:5" x14ac:dyDescent="0.25">
      <c r="A365">
        <v>292</v>
      </c>
      <c r="B365" t="s">
        <v>102</v>
      </c>
      <c r="C365" t="s">
        <v>195</v>
      </c>
      <c r="D365" t="s">
        <v>194</v>
      </c>
      <c r="E365" t="s">
        <v>216</v>
      </c>
    </row>
    <row r="366" spans="1:5" x14ac:dyDescent="0.25">
      <c r="A366">
        <v>17</v>
      </c>
      <c r="B366" t="s">
        <v>12</v>
      </c>
      <c r="C366" t="s">
        <v>195</v>
      </c>
      <c r="D366" t="s">
        <v>194</v>
      </c>
      <c r="E366" t="s">
        <v>216</v>
      </c>
    </row>
    <row r="367" spans="1:5" x14ac:dyDescent="0.25">
      <c r="A367">
        <v>19</v>
      </c>
      <c r="B367" t="s">
        <v>12</v>
      </c>
      <c r="C367" t="s">
        <v>195</v>
      </c>
      <c r="D367" t="s">
        <v>194</v>
      </c>
      <c r="E367" t="s">
        <v>216</v>
      </c>
    </row>
    <row r="368" spans="1:5" x14ac:dyDescent="0.25">
      <c r="A368">
        <v>296</v>
      </c>
      <c r="B368" t="s">
        <v>103</v>
      </c>
      <c r="C368" t="s">
        <v>195</v>
      </c>
      <c r="D368" t="s">
        <v>194</v>
      </c>
      <c r="E368" t="s">
        <v>216</v>
      </c>
    </row>
    <row r="369" spans="1:5" x14ac:dyDescent="0.25">
      <c r="A369">
        <v>294</v>
      </c>
      <c r="B369" t="s">
        <v>103</v>
      </c>
      <c r="C369" t="s">
        <v>195</v>
      </c>
      <c r="D369" t="s">
        <v>194</v>
      </c>
      <c r="E369" t="s">
        <v>216</v>
      </c>
    </row>
    <row r="370" spans="1:5" x14ac:dyDescent="0.25">
      <c r="A370">
        <v>434</v>
      </c>
      <c r="B370" t="s">
        <v>144</v>
      </c>
      <c r="C370" t="s">
        <v>195</v>
      </c>
      <c r="D370" t="s">
        <v>194</v>
      </c>
      <c r="E370" t="s">
        <v>216</v>
      </c>
    </row>
    <row r="371" spans="1:5" x14ac:dyDescent="0.25">
      <c r="A371">
        <v>258</v>
      </c>
      <c r="B371" t="s">
        <v>94</v>
      </c>
      <c r="C371" t="s">
        <v>195</v>
      </c>
      <c r="D371" t="s">
        <v>194</v>
      </c>
      <c r="E371" t="s">
        <v>216</v>
      </c>
    </row>
    <row r="372" spans="1:5" x14ac:dyDescent="0.25">
      <c r="A372">
        <v>457</v>
      </c>
      <c r="B372" t="s">
        <v>150</v>
      </c>
      <c r="C372" t="s">
        <v>195</v>
      </c>
      <c r="D372" t="s">
        <v>194</v>
      </c>
      <c r="E372" t="s">
        <v>216</v>
      </c>
    </row>
    <row r="373" spans="1:5" x14ac:dyDescent="0.25">
      <c r="A373">
        <v>462</v>
      </c>
      <c r="B373" t="s">
        <v>152</v>
      </c>
      <c r="C373" t="s">
        <v>195</v>
      </c>
      <c r="D373" t="s">
        <v>194</v>
      </c>
      <c r="E373" t="s">
        <v>216</v>
      </c>
    </row>
    <row r="374" spans="1:5" x14ac:dyDescent="0.25">
      <c r="A374">
        <v>463</v>
      </c>
      <c r="B374" t="s">
        <v>152</v>
      </c>
      <c r="C374" t="s">
        <v>195</v>
      </c>
      <c r="D374" t="s">
        <v>194</v>
      </c>
      <c r="E374" t="s">
        <v>216</v>
      </c>
    </row>
    <row r="375" spans="1:5" x14ac:dyDescent="0.25">
      <c r="A375">
        <v>211</v>
      </c>
      <c r="B375" t="s">
        <v>83</v>
      </c>
      <c r="C375" t="s">
        <v>195</v>
      </c>
      <c r="D375" t="s">
        <v>194</v>
      </c>
      <c r="E375" t="s">
        <v>216</v>
      </c>
    </row>
    <row r="376" spans="1:5" x14ac:dyDescent="0.25">
      <c r="A376">
        <v>212</v>
      </c>
      <c r="B376" t="s">
        <v>83</v>
      </c>
      <c r="C376" t="s">
        <v>195</v>
      </c>
      <c r="D376" t="s">
        <v>194</v>
      </c>
      <c r="E376" t="s">
        <v>216</v>
      </c>
    </row>
    <row r="377" spans="1:5" x14ac:dyDescent="0.25">
      <c r="A377">
        <v>213</v>
      </c>
      <c r="B377" t="s">
        <v>83</v>
      </c>
      <c r="C377" t="s">
        <v>195</v>
      </c>
      <c r="D377" t="s">
        <v>194</v>
      </c>
      <c r="E377" t="s">
        <v>216</v>
      </c>
    </row>
    <row r="378" spans="1:5" x14ac:dyDescent="0.25">
      <c r="A378">
        <v>214</v>
      </c>
      <c r="B378" t="s">
        <v>83</v>
      </c>
      <c r="C378" t="s">
        <v>195</v>
      </c>
      <c r="D378" t="s">
        <v>194</v>
      </c>
      <c r="E378" t="s">
        <v>216</v>
      </c>
    </row>
    <row r="379" spans="1:5" x14ac:dyDescent="0.25">
      <c r="A379">
        <v>215</v>
      </c>
      <c r="B379" t="s">
        <v>83</v>
      </c>
      <c r="C379" t="s">
        <v>195</v>
      </c>
      <c r="D379" t="s">
        <v>194</v>
      </c>
      <c r="E379" t="s">
        <v>216</v>
      </c>
    </row>
    <row r="380" spans="1:5" x14ac:dyDescent="0.25">
      <c r="A380">
        <v>220</v>
      </c>
      <c r="B380" t="s">
        <v>83</v>
      </c>
      <c r="C380" t="s">
        <v>195</v>
      </c>
      <c r="D380" t="s">
        <v>194</v>
      </c>
      <c r="E380" t="s">
        <v>216</v>
      </c>
    </row>
    <row r="381" spans="1:5" x14ac:dyDescent="0.25">
      <c r="A381">
        <v>221</v>
      </c>
      <c r="B381" t="s">
        <v>83</v>
      </c>
      <c r="C381" t="s">
        <v>195</v>
      </c>
      <c r="D381" t="s">
        <v>194</v>
      </c>
      <c r="E381" t="s">
        <v>216</v>
      </c>
    </row>
    <row r="382" spans="1:5" x14ac:dyDescent="0.25">
      <c r="A382">
        <v>218</v>
      </c>
      <c r="B382" t="s">
        <v>83</v>
      </c>
      <c r="C382" t="s">
        <v>195</v>
      </c>
      <c r="D382" t="s">
        <v>194</v>
      </c>
      <c r="E382" t="s">
        <v>216</v>
      </c>
    </row>
    <row r="383" spans="1:5" x14ac:dyDescent="0.25">
      <c r="A383">
        <v>219</v>
      </c>
      <c r="B383" t="s">
        <v>83</v>
      </c>
      <c r="C383" t="s">
        <v>195</v>
      </c>
      <c r="D383" t="s">
        <v>194</v>
      </c>
      <c r="E383" t="s">
        <v>216</v>
      </c>
    </row>
    <row r="384" spans="1:5" x14ac:dyDescent="0.25">
      <c r="A384">
        <v>216</v>
      </c>
      <c r="B384" t="s">
        <v>83</v>
      </c>
      <c r="C384" t="s">
        <v>195</v>
      </c>
      <c r="D384" t="s">
        <v>194</v>
      </c>
      <c r="E384" t="s">
        <v>216</v>
      </c>
    </row>
    <row r="385" spans="1:5" x14ac:dyDescent="0.25">
      <c r="A385">
        <v>217</v>
      </c>
      <c r="B385" t="s">
        <v>83</v>
      </c>
      <c r="C385" t="s">
        <v>195</v>
      </c>
      <c r="D385" t="s">
        <v>194</v>
      </c>
      <c r="E385" t="s">
        <v>216</v>
      </c>
    </row>
    <row r="386" spans="1:5" x14ac:dyDescent="0.25">
      <c r="A386">
        <v>222</v>
      </c>
      <c r="B386" t="s">
        <v>83</v>
      </c>
      <c r="C386" t="s">
        <v>195</v>
      </c>
      <c r="D386" t="s">
        <v>194</v>
      </c>
      <c r="E386" t="s">
        <v>216</v>
      </c>
    </row>
    <row r="387" spans="1:5" x14ac:dyDescent="0.25">
      <c r="A387">
        <v>223</v>
      </c>
      <c r="B387" t="s">
        <v>83</v>
      </c>
      <c r="C387" t="s">
        <v>195</v>
      </c>
      <c r="D387" t="s">
        <v>194</v>
      </c>
      <c r="E387" t="s">
        <v>216</v>
      </c>
    </row>
    <row r="388" spans="1:5" x14ac:dyDescent="0.25">
      <c r="A388">
        <v>209</v>
      </c>
      <c r="B388" t="s">
        <v>82</v>
      </c>
      <c r="C388" t="s">
        <v>195</v>
      </c>
      <c r="D388" t="s">
        <v>194</v>
      </c>
      <c r="E388" t="s">
        <v>216</v>
      </c>
    </row>
    <row r="389" spans="1:5" x14ac:dyDescent="0.25">
      <c r="A389">
        <v>94</v>
      </c>
      <c r="B389" t="s">
        <v>38</v>
      </c>
      <c r="C389" t="s">
        <v>195</v>
      </c>
      <c r="D389" t="s">
        <v>194</v>
      </c>
      <c r="E389" t="s">
        <v>216</v>
      </c>
    </row>
    <row r="390" spans="1:5" x14ac:dyDescent="0.25">
      <c r="A390">
        <v>95</v>
      </c>
      <c r="B390" t="s">
        <v>38</v>
      </c>
      <c r="C390" t="s">
        <v>195</v>
      </c>
      <c r="D390" t="s">
        <v>194</v>
      </c>
      <c r="E390" t="s">
        <v>216</v>
      </c>
    </row>
    <row r="391" spans="1:5" x14ac:dyDescent="0.25">
      <c r="A391">
        <v>184</v>
      </c>
      <c r="B391" t="s">
        <v>72</v>
      </c>
      <c r="C391" t="s">
        <v>195</v>
      </c>
      <c r="D391" t="s">
        <v>194</v>
      </c>
      <c r="E391" t="s">
        <v>216</v>
      </c>
    </row>
    <row r="392" spans="1:5" x14ac:dyDescent="0.25">
      <c r="A392">
        <v>126</v>
      </c>
      <c r="B392" t="s">
        <v>48</v>
      </c>
      <c r="C392" t="s">
        <v>195</v>
      </c>
      <c r="D392" t="s">
        <v>194</v>
      </c>
      <c r="E392" t="s">
        <v>216</v>
      </c>
    </row>
    <row r="393" spans="1:5" x14ac:dyDescent="0.25">
      <c r="A393">
        <v>81</v>
      </c>
      <c r="B393" t="s">
        <v>34</v>
      </c>
      <c r="C393" t="s">
        <v>195</v>
      </c>
      <c r="D393" t="s">
        <v>194</v>
      </c>
      <c r="E393" t="s">
        <v>216</v>
      </c>
    </row>
    <row r="394" spans="1:5" x14ac:dyDescent="0.25">
      <c r="A394">
        <v>15</v>
      </c>
      <c r="B394" t="s">
        <v>11</v>
      </c>
      <c r="C394" t="s">
        <v>195</v>
      </c>
      <c r="D394" t="s">
        <v>194</v>
      </c>
      <c r="E394" t="s">
        <v>216</v>
      </c>
    </row>
    <row r="395" spans="1:5" x14ac:dyDescent="0.25">
      <c r="A395">
        <v>36</v>
      </c>
      <c r="B395" t="s">
        <v>17</v>
      </c>
      <c r="C395" t="s">
        <v>195</v>
      </c>
      <c r="D395" t="s">
        <v>194</v>
      </c>
      <c r="E395" t="s">
        <v>216</v>
      </c>
    </row>
    <row r="396" spans="1:5" x14ac:dyDescent="0.25">
      <c r="A396">
        <v>37</v>
      </c>
      <c r="B396" t="s">
        <v>17</v>
      </c>
      <c r="C396" t="s">
        <v>195</v>
      </c>
      <c r="D396" t="s">
        <v>194</v>
      </c>
      <c r="E396" t="s">
        <v>216</v>
      </c>
    </row>
    <row r="397" spans="1:5" x14ac:dyDescent="0.25">
      <c r="A397">
        <v>88</v>
      </c>
      <c r="B397" t="s">
        <v>36</v>
      </c>
      <c r="C397" t="s">
        <v>195</v>
      </c>
      <c r="D397" t="s">
        <v>194</v>
      </c>
      <c r="E397" t="s">
        <v>218</v>
      </c>
    </row>
    <row r="398" spans="1:5" x14ac:dyDescent="0.25">
      <c r="A398">
        <v>91</v>
      </c>
      <c r="B398" t="s">
        <v>37</v>
      </c>
      <c r="C398" t="s">
        <v>195</v>
      </c>
      <c r="D398" t="s">
        <v>194</v>
      </c>
      <c r="E398" t="s">
        <v>218</v>
      </c>
    </row>
    <row r="399" spans="1:5" x14ac:dyDescent="0.25">
      <c r="A399">
        <v>262</v>
      </c>
      <c r="B399" t="s">
        <v>95</v>
      </c>
      <c r="C399" t="s">
        <v>195</v>
      </c>
      <c r="D399" t="s">
        <v>194</v>
      </c>
      <c r="E399" t="s">
        <v>218</v>
      </c>
    </row>
    <row r="400" spans="1:5" x14ac:dyDescent="0.25">
      <c r="A400">
        <v>133</v>
      </c>
      <c r="B400" t="s">
        <v>51</v>
      </c>
      <c r="C400" t="s">
        <v>195</v>
      </c>
      <c r="D400" t="s">
        <v>194</v>
      </c>
      <c r="E400" t="s">
        <v>218</v>
      </c>
    </row>
    <row r="401" spans="1:5" x14ac:dyDescent="0.25">
      <c r="A401">
        <v>234</v>
      </c>
      <c r="B401" t="s">
        <v>85</v>
      </c>
      <c r="C401" t="s">
        <v>195</v>
      </c>
      <c r="D401" t="s">
        <v>194</v>
      </c>
      <c r="E401" t="s">
        <v>218</v>
      </c>
    </row>
    <row r="402" spans="1:5" x14ac:dyDescent="0.25">
      <c r="A402">
        <v>89</v>
      </c>
      <c r="B402" t="s">
        <v>36</v>
      </c>
      <c r="C402" t="s">
        <v>195</v>
      </c>
      <c r="D402" t="s">
        <v>194</v>
      </c>
      <c r="E402" t="s">
        <v>218</v>
      </c>
    </row>
    <row r="403" spans="1:5" x14ac:dyDescent="0.25">
      <c r="A403">
        <v>92</v>
      </c>
      <c r="B403" t="s">
        <v>37</v>
      </c>
      <c r="C403" t="s">
        <v>195</v>
      </c>
      <c r="D403" t="s">
        <v>194</v>
      </c>
      <c r="E403" t="s">
        <v>218</v>
      </c>
    </row>
    <row r="404" spans="1:5" x14ac:dyDescent="0.25">
      <c r="A404">
        <v>39</v>
      </c>
      <c r="B404" t="s">
        <v>18</v>
      </c>
      <c r="C404" t="s">
        <v>195</v>
      </c>
      <c r="D404" t="s">
        <v>194</v>
      </c>
      <c r="E404" t="s">
        <v>218</v>
      </c>
    </row>
    <row r="405" spans="1:5" x14ac:dyDescent="0.25">
      <c r="A405">
        <v>389</v>
      </c>
      <c r="B405" t="s">
        <v>132</v>
      </c>
      <c r="C405" t="s">
        <v>195</v>
      </c>
      <c r="D405" t="s">
        <v>194</v>
      </c>
      <c r="E405" t="s">
        <v>219</v>
      </c>
    </row>
    <row r="406" spans="1:5" x14ac:dyDescent="0.25">
      <c r="A406">
        <v>390</v>
      </c>
      <c r="B406" t="s">
        <v>132</v>
      </c>
      <c r="C406" t="s">
        <v>195</v>
      </c>
      <c r="D406" t="s">
        <v>194</v>
      </c>
      <c r="E406" t="s">
        <v>219</v>
      </c>
    </row>
    <row r="407" spans="1:5" x14ac:dyDescent="0.25">
      <c r="A407">
        <v>267</v>
      </c>
      <c r="B407" t="s">
        <v>97</v>
      </c>
      <c r="C407" t="s">
        <v>195</v>
      </c>
      <c r="D407" t="s">
        <v>194</v>
      </c>
      <c r="E407" t="s">
        <v>219</v>
      </c>
    </row>
    <row r="408" spans="1:5" x14ac:dyDescent="0.25">
      <c r="A408">
        <v>453</v>
      </c>
      <c r="B408" t="s">
        <v>149</v>
      </c>
      <c r="C408" t="s">
        <v>195</v>
      </c>
      <c r="D408" t="s">
        <v>194</v>
      </c>
      <c r="E408" t="s">
        <v>222</v>
      </c>
    </row>
    <row r="409" spans="1:5" x14ac:dyDescent="0.25">
      <c r="A409">
        <v>7</v>
      </c>
      <c r="B409" t="s">
        <v>8</v>
      </c>
      <c r="C409" t="s">
        <v>195</v>
      </c>
      <c r="D409" t="s">
        <v>194</v>
      </c>
      <c r="E409" t="s">
        <v>220</v>
      </c>
    </row>
    <row r="410" spans="1:5" x14ac:dyDescent="0.25">
      <c r="A410">
        <v>163</v>
      </c>
      <c r="B410" t="s">
        <v>64</v>
      </c>
      <c r="C410" t="s">
        <v>195</v>
      </c>
      <c r="D410" t="s">
        <v>194</v>
      </c>
      <c r="E410" t="s">
        <v>206</v>
      </c>
    </row>
    <row r="411" spans="1:5" x14ac:dyDescent="0.25">
      <c r="A411">
        <v>159</v>
      </c>
      <c r="B411" t="s">
        <v>63</v>
      </c>
      <c r="C411" t="s">
        <v>195</v>
      </c>
      <c r="D411" t="s">
        <v>194</v>
      </c>
      <c r="E411" t="s">
        <v>229</v>
      </c>
    </row>
    <row r="412" spans="1:5" x14ac:dyDescent="0.25">
      <c r="A412">
        <v>151</v>
      </c>
      <c r="B412" t="s">
        <v>60</v>
      </c>
      <c r="C412" t="s">
        <v>195</v>
      </c>
      <c r="D412" t="s">
        <v>194</v>
      </c>
      <c r="E412" t="s">
        <v>230</v>
      </c>
    </row>
    <row r="413" spans="1:5" x14ac:dyDescent="0.25">
      <c r="A413">
        <v>76</v>
      </c>
      <c r="B413" t="s">
        <v>32</v>
      </c>
      <c r="C413" t="s">
        <v>195</v>
      </c>
      <c r="D413" t="s">
        <v>194</v>
      </c>
      <c r="E413" t="s">
        <v>230</v>
      </c>
    </row>
    <row r="414" spans="1:5" x14ac:dyDescent="0.25">
      <c r="A414">
        <v>77</v>
      </c>
      <c r="B414" t="s">
        <v>32</v>
      </c>
      <c r="C414" t="s">
        <v>195</v>
      </c>
      <c r="D414" t="s">
        <v>194</v>
      </c>
      <c r="E414" t="s">
        <v>230</v>
      </c>
    </row>
    <row r="415" spans="1:5" x14ac:dyDescent="0.25">
      <c r="A415">
        <v>41</v>
      </c>
      <c r="B415" t="s">
        <v>19</v>
      </c>
      <c r="C415" t="s">
        <v>195</v>
      </c>
      <c r="D415" t="s">
        <v>194</v>
      </c>
      <c r="E415" t="s">
        <v>3</v>
      </c>
    </row>
    <row r="416" spans="1:5" x14ac:dyDescent="0.25">
      <c r="A416">
        <v>191</v>
      </c>
      <c r="B416" t="s">
        <v>75</v>
      </c>
      <c r="C416" t="s">
        <v>195</v>
      </c>
      <c r="D416" t="s">
        <v>194</v>
      </c>
      <c r="E416" t="s">
        <v>3</v>
      </c>
    </row>
    <row r="417" spans="1:5" x14ac:dyDescent="0.25">
      <c r="A417">
        <v>240</v>
      </c>
      <c r="B417" t="s">
        <v>87</v>
      </c>
      <c r="C417" t="s">
        <v>195</v>
      </c>
      <c r="D417" t="s">
        <v>194</v>
      </c>
      <c r="E417" t="s">
        <v>3</v>
      </c>
    </row>
    <row r="418" spans="1:5" x14ac:dyDescent="0.25">
      <c r="A418">
        <v>241</v>
      </c>
      <c r="B418" t="s">
        <v>87</v>
      </c>
      <c r="C418" t="s">
        <v>195</v>
      </c>
      <c r="D418" t="s">
        <v>194</v>
      </c>
      <c r="E418" t="s">
        <v>3</v>
      </c>
    </row>
    <row r="419" spans="1:5" x14ac:dyDescent="0.25">
      <c r="A419">
        <v>238</v>
      </c>
      <c r="B419" t="s">
        <v>87</v>
      </c>
      <c r="C419" t="s">
        <v>195</v>
      </c>
      <c r="D419" t="s">
        <v>194</v>
      </c>
      <c r="E419" t="s">
        <v>3</v>
      </c>
    </row>
    <row r="420" spans="1:5" x14ac:dyDescent="0.25">
      <c r="A420">
        <v>26</v>
      </c>
      <c r="B420" t="s">
        <v>13</v>
      </c>
      <c r="C420" t="s">
        <v>195</v>
      </c>
      <c r="D420" t="s">
        <v>194</v>
      </c>
      <c r="E420" t="s">
        <v>233</v>
      </c>
    </row>
    <row r="421" spans="1:5" x14ac:dyDescent="0.25">
      <c r="A421">
        <v>98</v>
      </c>
      <c r="B421" t="s">
        <v>39</v>
      </c>
      <c r="D421" t="s">
        <v>194</v>
      </c>
      <c r="E421" t="s">
        <v>196</v>
      </c>
    </row>
    <row r="422" spans="1:5" x14ac:dyDescent="0.25">
      <c r="A422">
        <v>97</v>
      </c>
      <c r="B422" t="s">
        <v>39</v>
      </c>
      <c r="D422" t="s">
        <v>194</v>
      </c>
      <c r="E422" t="s">
        <v>196</v>
      </c>
    </row>
    <row r="423" spans="1:5" x14ac:dyDescent="0.25">
      <c r="A423">
        <v>111</v>
      </c>
      <c r="B423" t="s">
        <v>42</v>
      </c>
      <c r="D423" t="s">
        <v>194</v>
      </c>
      <c r="E423" t="s">
        <v>196</v>
      </c>
    </row>
    <row r="424" spans="1:5" x14ac:dyDescent="0.25">
      <c r="A424">
        <v>113</v>
      </c>
      <c r="B424" t="s">
        <v>43</v>
      </c>
      <c r="D424" t="s">
        <v>194</v>
      </c>
      <c r="E424" t="s">
        <v>196</v>
      </c>
    </row>
    <row r="425" spans="1:5" x14ac:dyDescent="0.25">
      <c r="A425">
        <v>137</v>
      </c>
      <c r="B425" t="s">
        <v>53</v>
      </c>
      <c r="D425" t="s">
        <v>194</v>
      </c>
      <c r="E425" t="s">
        <v>196</v>
      </c>
    </row>
    <row r="426" spans="1:5" x14ac:dyDescent="0.25">
      <c r="A426">
        <v>139</v>
      </c>
      <c r="B426" t="s">
        <v>54</v>
      </c>
      <c r="D426" t="s">
        <v>194</v>
      </c>
      <c r="E426" t="s">
        <v>196</v>
      </c>
    </row>
    <row r="427" spans="1:5" x14ac:dyDescent="0.25">
      <c r="A427">
        <v>141</v>
      </c>
      <c r="B427" t="s">
        <v>55</v>
      </c>
      <c r="D427" t="s">
        <v>194</v>
      </c>
      <c r="E427" t="s">
        <v>196</v>
      </c>
    </row>
    <row r="428" spans="1:5" x14ac:dyDescent="0.25">
      <c r="A428">
        <v>143</v>
      </c>
      <c r="B428" t="s">
        <v>56</v>
      </c>
      <c r="D428" t="s">
        <v>194</v>
      </c>
      <c r="E428" t="s">
        <v>196</v>
      </c>
    </row>
    <row r="429" spans="1:5" x14ac:dyDescent="0.25">
      <c r="A429">
        <v>147</v>
      </c>
      <c r="B429" t="s">
        <v>58</v>
      </c>
      <c r="D429" t="s">
        <v>194</v>
      </c>
      <c r="E429" t="s">
        <v>196</v>
      </c>
    </row>
    <row r="430" spans="1:5" x14ac:dyDescent="0.25">
      <c r="A430">
        <v>187</v>
      </c>
      <c r="B430" t="s">
        <v>73</v>
      </c>
      <c r="D430" t="s">
        <v>194</v>
      </c>
      <c r="E430" t="s">
        <v>196</v>
      </c>
    </row>
    <row r="431" spans="1:5" x14ac:dyDescent="0.25">
      <c r="A431">
        <v>186</v>
      </c>
      <c r="B431" t="s">
        <v>73</v>
      </c>
      <c r="D431" t="s">
        <v>194</v>
      </c>
      <c r="E431" t="s">
        <v>196</v>
      </c>
    </row>
    <row r="432" spans="1:5" x14ac:dyDescent="0.25">
      <c r="A432">
        <v>202</v>
      </c>
      <c r="B432" t="s">
        <v>80</v>
      </c>
      <c r="D432" t="s">
        <v>194</v>
      </c>
      <c r="E432" t="s">
        <v>196</v>
      </c>
    </row>
    <row r="433" spans="1:5" x14ac:dyDescent="0.25">
      <c r="A433">
        <v>370</v>
      </c>
      <c r="B433" t="s">
        <v>131</v>
      </c>
      <c r="D433" t="s">
        <v>194</v>
      </c>
      <c r="E433" t="s">
        <v>196</v>
      </c>
    </row>
    <row r="434" spans="1:5" x14ac:dyDescent="0.25">
      <c r="A434">
        <v>459</v>
      </c>
      <c r="B434" t="s">
        <v>151</v>
      </c>
      <c r="D434" t="s">
        <v>194</v>
      </c>
      <c r="E434" t="s">
        <v>196</v>
      </c>
    </row>
    <row r="435" spans="1:5" x14ac:dyDescent="0.25">
      <c r="A435">
        <v>454</v>
      </c>
      <c r="B435" t="s">
        <v>149</v>
      </c>
      <c r="D435" t="s">
        <v>194</v>
      </c>
      <c r="E435" t="s">
        <v>196</v>
      </c>
    </row>
    <row r="436" spans="1:5" x14ac:dyDescent="0.25">
      <c r="A436">
        <v>280</v>
      </c>
      <c r="B436" t="s">
        <v>100</v>
      </c>
      <c r="D436" t="s">
        <v>194</v>
      </c>
      <c r="E436" t="s">
        <v>196</v>
      </c>
    </row>
    <row r="437" spans="1:5" x14ac:dyDescent="0.25">
      <c r="A437">
        <v>283</v>
      </c>
      <c r="B437" t="s">
        <v>100</v>
      </c>
      <c r="D437" t="s">
        <v>194</v>
      </c>
      <c r="E437" t="s">
        <v>196</v>
      </c>
    </row>
    <row r="438" spans="1:5" x14ac:dyDescent="0.25">
      <c r="A438">
        <v>279</v>
      </c>
      <c r="B438" t="s">
        <v>100</v>
      </c>
      <c r="D438" t="s">
        <v>194</v>
      </c>
      <c r="E438" t="s">
        <v>196</v>
      </c>
    </row>
    <row r="439" spans="1:5" x14ac:dyDescent="0.25">
      <c r="A439">
        <v>282</v>
      </c>
      <c r="B439" t="s">
        <v>100</v>
      </c>
      <c r="D439" t="s">
        <v>194</v>
      </c>
      <c r="E439" t="s">
        <v>196</v>
      </c>
    </row>
    <row r="440" spans="1:5" x14ac:dyDescent="0.25">
      <c r="A440">
        <v>460</v>
      </c>
      <c r="B440" t="s">
        <v>151</v>
      </c>
      <c r="D440" t="s">
        <v>194</v>
      </c>
      <c r="E440" t="s">
        <v>196</v>
      </c>
    </row>
    <row r="441" spans="1:5" x14ac:dyDescent="0.25">
      <c r="A441">
        <v>299</v>
      </c>
      <c r="B441" t="s">
        <v>104</v>
      </c>
      <c r="D441" t="s">
        <v>194</v>
      </c>
      <c r="E441" t="s">
        <v>196</v>
      </c>
    </row>
    <row r="442" spans="1:5" x14ac:dyDescent="0.25">
      <c r="A442">
        <v>298</v>
      </c>
      <c r="B442" t="s">
        <v>104</v>
      </c>
      <c r="D442" t="s">
        <v>194</v>
      </c>
      <c r="E442" t="s">
        <v>196</v>
      </c>
    </row>
    <row r="443" spans="1:5" x14ac:dyDescent="0.25">
      <c r="A443">
        <v>50</v>
      </c>
      <c r="B443" t="s">
        <v>22</v>
      </c>
      <c r="D443" t="s">
        <v>194</v>
      </c>
      <c r="E443" t="s">
        <v>196</v>
      </c>
    </row>
    <row r="444" spans="1:5" x14ac:dyDescent="0.25">
      <c r="A444">
        <v>206</v>
      </c>
      <c r="B444" t="s">
        <v>81</v>
      </c>
      <c r="D444" t="s">
        <v>194</v>
      </c>
      <c r="E444" t="s">
        <v>202</v>
      </c>
    </row>
    <row r="445" spans="1:5" x14ac:dyDescent="0.25">
      <c r="A445">
        <v>205</v>
      </c>
      <c r="B445" t="s">
        <v>81</v>
      </c>
      <c r="D445" t="s">
        <v>194</v>
      </c>
      <c r="E445" t="s">
        <v>202</v>
      </c>
    </row>
    <row r="446" spans="1:5" x14ac:dyDescent="0.25">
      <c r="A446">
        <v>207</v>
      </c>
      <c r="B446" t="s">
        <v>81</v>
      </c>
      <c r="D446" t="s">
        <v>194</v>
      </c>
      <c r="E446" t="s">
        <v>202</v>
      </c>
    </row>
    <row r="447" spans="1:5" x14ac:dyDescent="0.25">
      <c r="A447">
        <v>55</v>
      </c>
      <c r="B447" t="s">
        <v>24</v>
      </c>
      <c r="D447" t="s">
        <v>194</v>
      </c>
      <c r="E447" t="s">
        <v>202</v>
      </c>
    </row>
    <row r="448" spans="1:5" x14ac:dyDescent="0.25">
      <c r="A448">
        <v>56</v>
      </c>
      <c r="B448" t="s">
        <v>24</v>
      </c>
      <c r="D448" t="s">
        <v>194</v>
      </c>
      <c r="E448" t="s">
        <v>202</v>
      </c>
    </row>
    <row r="449" spans="1:5" x14ac:dyDescent="0.25">
      <c r="A449">
        <v>46</v>
      </c>
      <c r="B449" t="s">
        <v>21</v>
      </c>
      <c r="D449" t="s">
        <v>194</v>
      </c>
      <c r="E449" t="s">
        <v>202</v>
      </c>
    </row>
    <row r="450" spans="1:5" x14ac:dyDescent="0.25">
      <c r="A450">
        <v>47</v>
      </c>
      <c r="B450" t="s">
        <v>21</v>
      </c>
      <c r="D450" t="s">
        <v>194</v>
      </c>
      <c r="E450" t="s">
        <v>202</v>
      </c>
    </row>
    <row r="451" spans="1:5" x14ac:dyDescent="0.25">
      <c r="A451">
        <v>48</v>
      </c>
      <c r="B451" t="s">
        <v>21</v>
      </c>
      <c r="D451" t="s">
        <v>194</v>
      </c>
      <c r="E451" t="s">
        <v>202</v>
      </c>
    </row>
    <row r="452" spans="1:5" x14ac:dyDescent="0.25">
      <c r="A452">
        <v>306</v>
      </c>
      <c r="B452" t="s">
        <v>107</v>
      </c>
      <c r="D452" t="s">
        <v>194</v>
      </c>
      <c r="E452" t="s">
        <v>202</v>
      </c>
    </row>
    <row r="453" spans="1:5" x14ac:dyDescent="0.25">
      <c r="A453">
        <v>301</v>
      </c>
      <c r="B453" t="s">
        <v>105</v>
      </c>
      <c r="D453" t="s">
        <v>194</v>
      </c>
      <c r="E453" t="s">
        <v>202</v>
      </c>
    </row>
    <row r="454" spans="1:5" x14ac:dyDescent="0.25">
      <c r="A454">
        <v>392</v>
      </c>
      <c r="B454" t="s">
        <v>133</v>
      </c>
      <c r="D454" t="s">
        <v>194</v>
      </c>
      <c r="E454" t="s">
        <v>202</v>
      </c>
    </row>
    <row r="455" spans="1:5" x14ac:dyDescent="0.25">
      <c r="A455">
        <v>157</v>
      </c>
      <c r="B455" t="s">
        <v>62</v>
      </c>
      <c r="D455" t="s">
        <v>194</v>
      </c>
      <c r="E455" t="s">
        <v>202</v>
      </c>
    </row>
    <row r="456" spans="1:5" x14ac:dyDescent="0.25">
      <c r="A456">
        <v>72</v>
      </c>
      <c r="B456" t="s">
        <v>30</v>
      </c>
      <c r="D456" t="s">
        <v>194</v>
      </c>
      <c r="E456" t="s">
        <v>202</v>
      </c>
    </row>
    <row r="457" spans="1:5" x14ac:dyDescent="0.25">
      <c r="A457">
        <v>74</v>
      </c>
      <c r="B457" t="s">
        <v>31</v>
      </c>
      <c r="D457" t="s">
        <v>194</v>
      </c>
      <c r="E457" t="s">
        <v>202</v>
      </c>
    </row>
    <row r="458" spans="1:5" x14ac:dyDescent="0.25">
      <c r="A458">
        <v>45</v>
      </c>
      <c r="B458" t="s">
        <v>21</v>
      </c>
      <c r="D458" t="s">
        <v>194</v>
      </c>
      <c r="E458" t="s">
        <v>202</v>
      </c>
    </row>
    <row r="459" spans="1:5" x14ac:dyDescent="0.25">
      <c r="A459">
        <v>54</v>
      </c>
      <c r="B459" t="s">
        <v>24</v>
      </c>
      <c r="D459" t="s">
        <v>194</v>
      </c>
      <c r="E459" t="s">
        <v>202</v>
      </c>
    </row>
    <row r="460" spans="1:5" x14ac:dyDescent="0.25">
      <c r="A460">
        <v>358</v>
      </c>
      <c r="B460" t="s">
        <v>127</v>
      </c>
      <c r="D460" t="s">
        <v>194</v>
      </c>
      <c r="E460" t="s">
        <v>202</v>
      </c>
    </row>
    <row r="461" spans="1:5" x14ac:dyDescent="0.25">
      <c r="A461">
        <v>342</v>
      </c>
      <c r="B461" t="s">
        <v>121</v>
      </c>
      <c r="D461" t="s">
        <v>194</v>
      </c>
      <c r="E461" t="s">
        <v>202</v>
      </c>
    </row>
    <row r="462" spans="1:5" x14ac:dyDescent="0.25">
      <c r="A462">
        <v>341</v>
      </c>
      <c r="B462" t="s">
        <v>121</v>
      </c>
      <c r="D462" t="s">
        <v>194</v>
      </c>
      <c r="E462" t="s">
        <v>202</v>
      </c>
    </row>
    <row r="463" spans="1:5" x14ac:dyDescent="0.25">
      <c r="A463">
        <v>58</v>
      </c>
      <c r="B463" t="s">
        <v>25</v>
      </c>
      <c r="D463" t="s">
        <v>194</v>
      </c>
      <c r="E463" t="s">
        <v>202</v>
      </c>
    </row>
    <row r="464" spans="1:5" x14ac:dyDescent="0.25">
      <c r="A464">
        <v>60</v>
      </c>
      <c r="B464" t="s">
        <v>26</v>
      </c>
      <c r="D464" t="s">
        <v>194</v>
      </c>
      <c r="E464" t="s">
        <v>202</v>
      </c>
    </row>
    <row r="465" spans="1:5" x14ac:dyDescent="0.25">
      <c r="A465">
        <v>170</v>
      </c>
      <c r="B465" t="s">
        <v>67</v>
      </c>
      <c r="D465" t="s">
        <v>194</v>
      </c>
      <c r="E465" t="s">
        <v>202</v>
      </c>
    </row>
    <row r="466" spans="1:5" x14ac:dyDescent="0.25">
      <c r="A466">
        <v>169</v>
      </c>
      <c r="B466" t="s">
        <v>67</v>
      </c>
      <c r="D466" t="s">
        <v>194</v>
      </c>
      <c r="E466" t="s">
        <v>202</v>
      </c>
    </row>
    <row r="467" spans="1:5" x14ac:dyDescent="0.25">
      <c r="A467">
        <v>420</v>
      </c>
      <c r="B467" t="s">
        <v>140</v>
      </c>
      <c r="D467" t="s">
        <v>194</v>
      </c>
      <c r="E467" t="s">
        <v>202</v>
      </c>
    </row>
    <row r="468" spans="1:5" x14ac:dyDescent="0.25">
      <c r="A468">
        <v>323</v>
      </c>
      <c r="B468" t="s">
        <v>114</v>
      </c>
      <c r="D468" t="s">
        <v>194</v>
      </c>
      <c r="E468" t="s">
        <v>202</v>
      </c>
    </row>
    <row r="469" spans="1:5" x14ac:dyDescent="0.25">
      <c r="A469">
        <v>343</v>
      </c>
      <c r="B469" t="s">
        <v>121</v>
      </c>
      <c r="D469" t="s">
        <v>194</v>
      </c>
      <c r="E469" t="s">
        <v>202</v>
      </c>
    </row>
    <row r="470" spans="1:5" x14ac:dyDescent="0.25">
      <c r="A470">
        <v>327</v>
      </c>
      <c r="B470" t="s">
        <v>116</v>
      </c>
      <c r="D470" t="s">
        <v>194</v>
      </c>
      <c r="E470" t="s">
        <v>202</v>
      </c>
    </row>
    <row r="471" spans="1:5" x14ac:dyDescent="0.25">
      <c r="A471">
        <v>328</v>
      </c>
      <c r="B471" t="s">
        <v>116</v>
      </c>
      <c r="D471" t="s">
        <v>194</v>
      </c>
      <c r="E471" t="s">
        <v>202</v>
      </c>
    </row>
    <row r="472" spans="1:5" x14ac:dyDescent="0.25">
      <c r="A472">
        <v>13</v>
      </c>
      <c r="B472" t="s">
        <v>10</v>
      </c>
      <c r="D472" t="s">
        <v>194</v>
      </c>
      <c r="E472" t="s">
        <v>202</v>
      </c>
    </row>
    <row r="473" spans="1:5" x14ac:dyDescent="0.25">
      <c r="A473">
        <v>12</v>
      </c>
      <c r="B473" t="s">
        <v>10</v>
      </c>
      <c r="D473" t="s">
        <v>194</v>
      </c>
      <c r="E473" t="s">
        <v>202</v>
      </c>
    </row>
    <row r="474" spans="1:5" x14ac:dyDescent="0.25">
      <c r="A474">
        <v>198</v>
      </c>
      <c r="B474" t="s">
        <v>78</v>
      </c>
      <c r="D474" t="s">
        <v>194</v>
      </c>
      <c r="E474" t="s">
        <v>202</v>
      </c>
    </row>
    <row r="475" spans="1:5" x14ac:dyDescent="0.25">
      <c r="A475">
        <v>52</v>
      </c>
      <c r="B475" t="s">
        <v>23</v>
      </c>
      <c r="D475" t="s">
        <v>194</v>
      </c>
      <c r="E475" t="s">
        <v>202</v>
      </c>
    </row>
    <row r="476" spans="1:5" x14ac:dyDescent="0.25">
      <c r="A476">
        <v>68</v>
      </c>
      <c r="B476" t="s">
        <v>29</v>
      </c>
      <c r="D476" t="s">
        <v>194</v>
      </c>
      <c r="E476" t="s">
        <v>202</v>
      </c>
    </row>
    <row r="477" spans="1:5" x14ac:dyDescent="0.25">
      <c r="A477">
        <v>69</v>
      </c>
      <c r="B477" t="s">
        <v>29</v>
      </c>
      <c r="D477" t="s">
        <v>194</v>
      </c>
      <c r="E477" t="s">
        <v>202</v>
      </c>
    </row>
    <row r="478" spans="1:5" x14ac:dyDescent="0.25">
      <c r="A478">
        <v>70</v>
      </c>
      <c r="B478" t="s">
        <v>29</v>
      </c>
      <c r="D478" t="s">
        <v>194</v>
      </c>
      <c r="E478" t="s">
        <v>202</v>
      </c>
    </row>
    <row r="479" spans="1:5" x14ac:dyDescent="0.25">
      <c r="A479">
        <v>34</v>
      </c>
      <c r="B479" t="s">
        <v>16</v>
      </c>
      <c r="D479" t="s">
        <v>194</v>
      </c>
      <c r="E479" t="s">
        <v>202</v>
      </c>
    </row>
    <row r="480" spans="1:5" x14ac:dyDescent="0.25">
      <c r="A480">
        <v>33</v>
      </c>
      <c r="B480" t="s">
        <v>16</v>
      </c>
      <c r="D480" t="s">
        <v>194</v>
      </c>
      <c r="E480" t="s">
        <v>202</v>
      </c>
    </row>
    <row r="481" spans="1:5" x14ac:dyDescent="0.25">
      <c r="A481">
        <v>108</v>
      </c>
      <c r="B481" t="s">
        <v>41</v>
      </c>
      <c r="D481" t="s">
        <v>194</v>
      </c>
      <c r="E481" t="s">
        <v>202</v>
      </c>
    </row>
    <row r="482" spans="1:5" x14ac:dyDescent="0.25">
      <c r="A482">
        <v>109</v>
      </c>
      <c r="B482" t="s">
        <v>41</v>
      </c>
      <c r="D482" t="s">
        <v>194</v>
      </c>
      <c r="E482" t="s">
        <v>202</v>
      </c>
    </row>
    <row r="483" spans="1:5" x14ac:dyDescent="0.25">
      <c r="A483">
        <v>245</v>
      </c>
      <c r="B483" t="s">
        <v>89</v>
      </c>
      <c r="D483" t="s">
        <v>194</v>
      </c>
      <c r="E483" t="s">
        <v>202</v>
      </c>
    </row>
    <row r="484" spans="1:5" x14ac:dyDescent="0.25">
      <c r="A484">
        <v>117</v>
      </c>
      <c r="B484" t="s">
        <v>45</v>
      </c>
      <c r="D484" t="s">
        <v>194</v>
      </c>
      <c r="E484" t="s">
        <v>202</v>
      </c>
    </row>
    <row r="485" spans="1:5" x14ac:dyDescent="0.25">
      <c r="A485">
        <v>135</v>
      </c>
      <c r="B485" t="s">
        <v>52</v>
      </c>
      <c r="D485" t="s">
        <v>194</v>
      </c>
      <c r="E485" t="s">
        <v>202</v>
      </c>
    </row>
    <row r="486" spans="1:5" x14ac:dyDescent="0.25">
      <c r="A486">
        <v>165</v>
      </c>
      <c r="B486" t="s">
        <v>65</v>
      </c>
      <c r="D486" t="s">
        <v>194</v>
      </c>
      <c r="E486" t="s">
        <v>202</v>
      </c>
    </row>
    <row r="487" spans="1:5" x14ac:dyDescent="0.25">
      <c r="A487">
        <v>167</v>
      </c>
      <c r="B487" t="s">
        <v>66</v>
      </c>
      <c r="D487" t="s">
        <v>194</v>
      </c>
      <c r="E487" t="s">
        <v>202</v>
      </c>
    </row>
    <row r="488" spans="1:5" x14ac:dyDescent="0.25">
      <c r="A488">
        <v>200</v>
      </c>
      <c r="B488" t="s">
        <v>79</v>
      </c>
      <c r="D488" t="s">
        <v>194</v>
      </c>
      <c r="E488" t="s">
        <v>202</v>
      </c>
    </row>
    <row r="489" spans="1:5" x14ac:dyDescent="0.25">
      <c r="A489">
        <v>62</v>
      </c>
      <c r="B489" t="s">
        <v>27</v>
      </c>
      <c r="D489" t="s">
        <v>194</v>
      </c>
      <c r="E489" t="s">
        <v>202</v>
      </c>
    </row>
    <row r="490" spans="1:5" x14ac:dyDescent="0.25">
      <c r="A490">
        <v>243</v>
      </c>
      <c r="B490" t="s">
        <v>88</v>
      </c>
      <c r="D490" t="s">
        <v>194</v>
      </c>
      <c r="E490" t="s">
        <v>202</v>
      </c>
    </row>
    <row r="491" spans="1:5" x14ac:dyDescent="0.25">
      <c r="A491">
        <v>204</v>
      </c>
      <c r="B491" t="s">
        <v>81</v>
      </c>
      <c r="D491" t="s">
        <v>194</v>
      </c>
      <c r="E491" t="s">
        <v>202</v>
      </c>
    </row>
    <row r="492" spans="1:5" x14ac:dyDescent="0.25">
      <c r="A492">
        <v>145</v>
      </c>
      <c r="B492" t="s">
        <v>57</v>
      </c>
      <c r="D492" t="s">
        <v>194</v>
      </c>
      <c r="E492" t="s">
        <v>202</v>
      </c>
    </row>
    <row r="493" spans="1:5" x14ac:dyDescent="0.25">
      <c r="A493">
        <v>102</v>
      </c>
      <c r="B493" t="s">
        <v>40</v>
      </c>
      <c r="D493" t="s">
        <v>194</v>
      </c>
      <c r="E493" t="s">
        <v>202</v>
      </c>
    </row>
    <row r="494" spans="1:5" x14ac:dyDescent="0.25">
      <c r="A494">
        <v>104</v>
      </c>
      <c r="B494" t="s">
        <v>40</v>
      </c>
      <c r="D494" t="s">
        <v>194</v>
      </c>
      <c r="E494" t="s">
        <v>202</v>
      </c>
    </row>
    <row r="495" spans="1:5" x14ac:dyDescent="0.25">
      <c r="A495">
        <v>106</v>
      </c>
      <c r="B495" t="s">
        <v>40</v>
      </c>
      <c r="D495" t="s">
        <v>194</v>
      </c>
      <c r="E495" t="s">
        <v>202</v>
      </c>
    </row>
    <row r="496" spans="1:5" x14ac:dyDescent="0.25">
      <c r="A496">
        <v>101</v>
      </c>
      <c r="B496" t="s">
        <v>40</v>
      </c>
      <c r="D496" t="s">
        <v>194</v>
      </c>
      <c r="E496" t="s">
        <v>202</v>
      </c>
    </row>
    <row r="497" spans="1:5" x14ac:dyDescent="0.25">
      <c r="A497">
        <v>103</v>
      </c>
      <c r="B497" t="s">
        <v>40</v>
      </c>
      <c r="D497" t="s">
        <v>194</v>
      </c>
      <c r="E497" t="s">
        <v>202</v>
      </c>
    </row>
    <row r="498" spans="1:5" x14ac:dyDescent="0.25">
      <c r="A498">
        <v>105</v>
      </c>
      <c r="B498" t="s">
        <v>40</v>
      </c>
      <c r="D498" t="s">
        <v>194</v>
      </c>
      <c r="E498" t="s">
        <v>202</v>
      </c>
    </row>
    <row r="499" spans="1:5" x14ac:dyDescent="0.25">
      <c r="A499">
        <v>100</v>
      </c>
      <c r="B499" t="s">
        <v>40</v>
      </c>
      <c r="D499" t="s">
        <v>194</v>
      </c>
      <c r="E499" t="s">
        <v>202</v>
      </c>
    </row>
    <row r="500" spans="1:5" x14ac:dyDescent="0.25">
      <c r="A500">
        <v>394</v>
      </c>
      <c r="B500" t="s">
        <v>134</v>
      </c>
      <c r="D500" t="s">
        <v>194</v>
      </c>
      <c r="E500" t="s">
        <v>202</v>
      </c>
    </row>
    <row r="501" spans="1:5" x14ac:dyDescent="0.25">
      <c r="A501">
        <v>395</v>
      </c>
      <c r="B501" t="s">
        <v>134</v>
      </c>
      <c r="D501" t="s">
        <v>194</v>
      </c>
      <c r="E501" t="s">
        <v>202</v>
      </c>
    </row>
    <row r="502" spans="1:5" x14ac:dyDescent="0.25">
      <c r="A502">
        <v>396</v>
      </c>
      <c r="B502" t="s">
        <v>134</v>
      </c>
      <c r="D502" t="s">
        <v>194</v>
      </c>
      <c r="E502" t="s">
        <v>202</v>
      </c>
    </row>
    <row r="503" spans="1:5" x14ac:dyDescent="0.25">
      <c r="A503">
        <v>397</v>
      </c>
      <c r="B503" t="s">
        <v>134</v>
      </c>
      <c r="D503" t="s">
        <v>194</v>
      </c>
      <c r="E503" t="s">
        <v>202</v>
      </c>
    </row>
    <row r="504" spans="1:5" x14ac:dyDescent="0.25">
      <c r="A504">
        <v>127</v>
      </c>
      <c r="B504" t="s">
        <v>48</v>
      </c>
      <c r="D504" t="s">
        <v>194</v>
      </c>
      <c r="E504" t="s">
        <v>202</v>
      </c>
    </row>
    <row r="505" spans="1:5" x14ac:dyDescent="0.25">
      <c r="A505">
        <v>363</v>
      </c>
      <c r="B505" t="s">
        <v>128</v>
      </c>
      <c r="D505" t="s">
        <v>194</v>
      </c>
      <c r="E505" t="s">
        <v>202</v>
      </c>
    </row>
    <row r="506" spans="1:5" x14ac:dyDescent="0.25">
      <c r="A506">
        <v>251</v>
      </c>
      <c r="B506" t="s">
        <v>92</v>
      </c>
      <c r="D506" t="s">
        <v>194</v>
      </c>
      <c r="E506" t="s">
        <v>202</v>
      </c>
    </row>
    <row r="507" spans="1:5" x14ac:dyDescent="0.25">
      <c r="A507">
        <v>357</v>
      </c>
      <c r="B507" t="s">
        <v>127</v>
      </c>
      <c r="D507" t="s">
        <v>194</v>
      </c>
      <c r="E507" t="s">
        <v>202</v>
      </c>
    </row>
    <row r="508" spans="1:5" x14ac:dyDescent="0.25">
      <c r="A508">
        <v>362</v>
      </c>
      <c r="B508" t="s">
        <v>128</v>
      </c>
      <c r="D508" t="s">
        <v>194</v>
      </c>
      <c r="E508" t="s">
        <v>202</v>
      </c>
    </row>
    <row r="509" spans="1:5" x14ac:dyDescent="0.25">
      <c r="A509">
        <v>329</v>
      </c>
      <c r="B509" t="s">
        <v>116</v>
      </c>
      <c r="D509" t="s">
        <v>194</v>
      </c>
      <c r="E509" t="s">
        <v>202</v>
      </c>
    </row>
    <row r="510" spans="1:5" x14ac:dyDescent="0.25">
      <c r="A510">
        <v>330</v>
      </c>
      <c r="B510" t="s">
        <v>116</v>
      </c>
      <c r="D510" t="s">
        <v>194</v>
      </c>
      <c r="E510" t="s">
        <v>202</v>
      </c>
    </row>
    <row r="511" spans="1:5" x14ac:dyDescent="0.25">
      <c r="A511">
        <v>332</v>
      </c>
      <c r="B511" t="s">
        <v>117</v>
      </c>
      <c r="D511" t="s">
        <v>194</v>
      </c>
      <c r="E511" t="s">
        <v>202</v>
      </c>
    </row>
    <row r="512" spans="1:5" x14ac:dyDescent="0.25">
      <c r="A512">
        <v>349</v>
      </c>
      <c r="B512" t="s">
        <v>124</v>
      </c>
      <c r="D512" t="s">
        <v>194</v>
      </c>
      <c r="E512" t="s">
        <v>202</v>
      </c>
    </row>
    <row r="513" spans="1:5" x14ac:dyDescent="0.25">
      <c r="A513">
        <v>350</v>
      </c>
      <c r="B513" t="s">
        <v>124</v>
      </c>
      <c r="D513" t="s">
        <v>194</v>
      </c>
      <c r="E513" t="s">
        <v>202</v>
      </c>
    </row>
    <row r="514" spans="1:5" x14ac:dyDescent="0.25">
      <c r="A514">
        <v>226</v>
      </c>
      <c r="B514" t="s">
        <v>84</v>
      </c>
      <c r="D514" t="s">
        <v>194</v>
      </c>
      <c r="E514" t="s">
        <v>202</v>
      </c>
    </row>
    <row r="515" spans="1:5" x14ac:dyDescent="0.25">
      <c r="A515">
        <v>405</v>
      </c>
      <c r="B515" t="s">
        <v>137</v>
      </c>
      <c r="D515" t="s">
        <v>194</v>
      </c>
      <c r="E515" t="s">
        <v>202</v>
      </c>
    </row>
    <row r="516" spans="1:5" x14ac:dyDescent="0.25">
      <c r="A516">
        <v>313</v>
      </c>
      <c r="B516" t="s">
        <v>109</v>
      </c>
      <c r="D516" t="s">
        <v>194</v>
      </c>
      <c r="E516" t="s">
        <v>202</v>
      </c>
    </row>
    <row r="517" spans="1:5" x14ac:dyDescent="0.25">
      <c r="A517">
        <v>355</v>
      </c>
      <c r="B517" t="s">
        <v>126</v>
      </c>
      <c r="D517" t="s">
        <v>194</v>
      </c>
      <c r="E517" t="s">
        <v>202</v>
      </c>
    </row>
    <row r="518" spans="1:5" x14ac:dyDescent="0.25">
      <c r="A518">
        <v>414</v>
      </c>
      <c r="B518" t="s">
        <v>139</v>
      </c>
      <c r="D518" t="s">
        <v>194</v>
      </c>
      <c r="E518" t="s">
        <v>202</v>
      </c>
    </row>
    <row r="519" spans="1:5" x14ac:dyDescent="0.25">
      <c r="A519">
        <v>416</v>
      </c>
      <c r="B519" t="s">
        <v>139</v>
      </c>
      <c r="D519" t="s">
        <v>194</v>
      </c>
      <c r="E519" t="s">
        <v>202</v>
      </c>
    </row>
    <row r="520" spans="1:5" x14ac:dyDescent="0.25">
      <c r="A520">
        <v>418</v>
      </c>
      <c r="B520" t="s">
        <v>139</v>
      </c>
      <c r="D520" t="s">
        <v>194</v>
      </c>
      <c r="E520" t="s">
        <v>202</v>
      </c>
    </row>
    <row r="521" spans="1:5" x14ac:dyDescent="0.25">
      <c r="A521">
        <v>410</v>
      </c>
      <c r="B521" t="s">
        <v>139</v>
      </c>
      <c r="D521" t="s">
        <v>194</v>
      </c>
      <c r="E521" t="s">
        <v>202</v>
      </c>
    </row>
    <row r="522" spans="1:5" x14ac:dyDescent="0.25">
      <c r="A522">
        <v>412</v>
      </c>
      <c r="B522" t="s">
        <v>139</v>
      </c>
      <c r="D522" t="s">
        <v>194</v>
      </c>
      <c r="E522" t="s">
        <v>202</v>
      </c>
    </row>
    <row r="523" spans="1:5" x14ac:dyDescent="0.25">
      <c r="A523">
        <v>228</v>
      </c>
      <c r="B523" t="s">
        <v>84</v>
      </c>
      <c r="D523" t="s">
        <v>194</v>
      </c>
      <c r="E523" t="s">
        <v>202</v>
      </c>
    </row>
    <row r="524" spans="1:5" x14ac:dyDescent="0.25">
      <c r="A524">
        <v>232</v>
      </c>
      <c r="B524" t="s">
        <v>84</v>
      </c>
      <c r="D524" t="s">
        <v>194</v>
      </c>
      <c r="E524" t="s">
        <v>202</v>
      </c>
    </row>
    <row r="525" spans="1:5" x14ac:dyDescent="0.25">
      <c r="A525">
        <v>229</v>
      </c>
      <c r="B525" t="s">
        <v>84</v>
      </c>
      <c r="D525" t="s">
        <v>194</v>
      </c>
      <c r="E525" t="s">
        <v>202</v>
      </c>
    </row>
    <row r="526" spans="1:5" x14ac:dyDescent="0.25">
      <c r="A526">
        <v>231</v>
      </c>
      <c r="B526" t="s">
        <v>84</v>
      </c>
      <c r="D526" t="s">
        <v>194</v>
      </c>
      <c r="E526" t="s">
        <v>202</v>
      </c>
    </row>
    <row r="527" spans="1:5" x14ac:dyDescent="0.25">
      <c r="A527">
        <v>345</v>
      </c>
      <c r="B527" t="s">
        <v>122</v>
      </c>
      <c r="D527" t="s">
        <v>194</v>
      </c>
      <c r="E527" t="s">
        <v>202</v>
      </c>
    </row>
    <row r="528" spans="1:5" x14ac:dyDescent="0.25">
      <c r="A528">
        <v>413</v>
      </c>
      <c r="B528" t="s">
        <v>139</v>
      </c>
      <c r="D528" t="s">
        <v>194</v>
      </c>
      <c r="E528" t="s">
        <v>202</v>
      </c>
    </row>
    <row r="529" spans="1:5" x14ac:dyDescent="0.25">
      <c r="A529">
        <v>415</v>
      </c>
      <c r="B529" t="s">
        <v>139</v>
      </c>
      <c r="D529" t="s">
        <v>194</v>
      </c>
      <c r="E529" t="s">
        <v>202</v>
      </c>
    </row>
    <row r="530" spans="1:5" x14ac:dyDescent="0.25">
      <c r="A530">
        <v>417</v>
      </c>
      <c r="B530" t="s">
        <v>139</v>
      </c>
      <c r="D530" t="s">
        <v>194</v>
      </c>
      <c r="E530" t="s">
        <v>202</v>
      </c>
    </row>
    <row r="531" spans="1:5" x14ac:dyDescent="0.25">
      <c r="A531">
        <v>409</v>
      </c>
      <c r="B531" t="s">
        <v>139</v>
      </c>
      <c r="D531" t="s">
        <v>194</v>
      </c>
      <c r="E531" t="s">
        <v>202</v>
      </c>
    </row>
    <row r="532" spans="1:5" x14ac:dyDescent="0.25">
      <c r="A532">
        <v>411</v>
      </c>
      <c r="B532" t="s">
        <v>139</v>
      </c>
      <c r="D532" t="s">
        <v>194</v>
      </c>
      <c r="E532" t="s">
        <v>202</v>
      </c>
    </row>
    <row r="533" spans="1:5" x14ac:dyDescent="0.25">
      <c r="A533">
        <v>336</v>
      </c>
      <c r="B533" t="s">
        <v>119</v>
      </c>
      <c r="D533" t="s">
        <v>194</v>
      </c>
      <c r="E533" t="s">
        <v>202</v>
      </c>
    </row>
    <row r="534" spans="1:5" x14ac:dyDescent="0.25">
      <c r="A534">
        <v>321</v>
      </c>
      <c r="B534" t="s">
        <v>113</v>
      </c>
      <c r="D534" t="s">
        <v>194</v>
      </c>
      <c r="E534" t="s">
        <v>202</v>
      </c>
    </row>
    <row r="535" spans="1:5" x14ac:dyDescent="0.25">
      <c r="A535">
        <v>315</v>
      </c>
      <c r="B535" t="s">
        <v>110</v>
      </c>
      <c r="D535" t="s">
        <v>194</v>
      </c>
      <c r="E535" t="s">
        <v>202</v>
      </c>
    </row>
    <row r="536" spans="1:5" x14ac:dyDescent="0.25">
      <c r="A536">
        <v>317</v>
      </c>
      <c r="B536" t="s">
        <v>111</v>
      </c>
      <c r="D536" t="s">
        <v>194</v>
      </c>
      <c r="E536" t="s">
        <v>202</v>
      </c>
    </row>
    <row r="537" spans="1:5" x14ac:dyDescent="0.25">
      <c r="A537">
        <v>319</v>
      </c>
      <c r="B537" t="s">
        <v>112</v>
      </c>
      <c r="D537" t="s">
        <v>194</v>
      </c>
      <c r="E537" t="s">
        <v>202</v>
      </c>
    </row>
    <row r="538" spans="1:5" x14ac:dyDescent="0.25">
      <c r="A538">
        <v>27</v>
      </c>
      <c r="B538" t="s">
        <v>13</v>
      </c>
      <c r="D538" t="s">
        <v>194</v>
      </c>
      <c r="E538" t="s">
        <v>202</v>
      </c>
    </row>
    <row r="539" spans="1:5" x14ac:dyDescent="0.25">
      <c r="A539">
        <v>491</v>
      </c>
      <c r="B539" t="s">
        <v>13</v>
      </c>
      <c r="D539" t="s">
        <v>194</v>
      </c>
      <c r="E539" t="s">
        <v>202</v>
      </c>
    </row>
    <row r="540" spans="1:5" x14ac:dyDescent="0.25">
      <c r="A540">
        <v>325</v>
      </c>
      <c r="B540" t="s">
        <v>115</v>
      </c>
      <c r="D540" t="s">
        <v>194</v>
      </c>
      <c r="E540" t="s">
        <v>202</v>
      </c>
    </row>
    <row r="541" spans="1:5" x14ac:dyDescent="0.25">
      <c r="A541">
        <v>347</v>
      </c>
      <c r="B541" t="s">
        <v>123</v>
      </c>
      <c r="D541" t="s">
        <v>194</v>
      </c>
      <c r="E541" t="s">
        <v>202</v>
      </c>
    </row>
    <row r="542" spans="1:5" x14ac:dyDescent="0.25">
      <c r="A542">
        <v>401</v>
      </c>
      <c r="B542" t="s">
        <v>136</v>
      </c>
      <c r="D542" t="s">
        <v>194</v>
      </c>
      <c r="E542" t="s">
        <v>202</v>
      </c>
    </row>
    <row r="543" spans="1:5" x14ac:dyDescent="0.25">
      <c r="A543">
        <v>402</v>
      </c>
      <c r="B543" t="s">
        <v>136</v>
      </c>
      <c r="D543" t="s">
        <v>194</v>
      </c>
      <c r="E543" t="s">
        <v>202</v>
      </c>
    </row>
    <row r="544" spans="1:5" x14ac:dyDescent="0.25">
      <c r="A544">
        <v>403</v>
      </c>
      <c r="B544" t="s">
        <v>136</v>
      </c>
      <c r="D544" t="s">
        <v>194</v>
      </c>
      <c r="E544" t="s">
        <v>202</v>
      </c>
    </row>
    <row r="545" spans="1:5" x14ac:dyDescent="0.25">
      <c r="A545">
        <v>334</v>
      </c>
      <c r="B545" t="s">
        <v>118</v>
      </c>
      <c r="D545" t="s">
        <v>194</v>
      </c>
      <c r="E545" t="s">
        <v>202</v>
      </c>
    </row>
    <row r="546" spans="1:5" x14ac:dyDescent="0.25">
      <c r="A546">
        <v>352</v>
      </c>
      <c r="B546" t="s">
        <v>125</v>
      </c>
      <c r="D546" t="s">
        <v>194</v>
      </c>
      <c r="E546" t="s">
        <v>202</v>
      </c>
    </row>
    <row r="547" spans="1:5" x14ac:dyDescent="0.25">
      <c r="A547">
        <v>353</v>
      </c>
      <c r="B547" t="s">
        <v>125</v>
      </c>
      <c r="D547" t="s">
        <v>194</v>
      </c>
      <c r="E547" t="s">
        <v>202</v>
      </c>
    </row>
    <row r="548" spans="1:5" x14ac:dyDescent="0.25">
      <c r="A548">
        <v>339</v>
      </c>
      <c r="B548" t="s">
        <v>120</v>
      </c>
      <c r="D548" t="s">
        <v>194</v>
      </c>
      <c r="E548" t="s">
        <v>202</v>
      </c>
    </row>
    <row r="549" spans="1:5" x14ac:dyDescent="0.25">
      <c r="A549">
        <v>338</v>
      </c>
      <c r="B549" t="s">
        <v>120</v>
      </c>
      <c r="D549" t="s">
        <v>194</v>
      </c>
      <c r="E549" t="s">
        <v>202</v>
      </c>
    </row>
    <row r="550" spans="1:5" x14ac:dyDescent="0.25">
      <c r="A550">
        <v>360</v>
      </c>
      <c r="B550" t="s">
        <v>127</v>
      </c>
      <c r="D550" t="s">
        <v>194</v>
      </c>
      <c r="E550" t="s">
        <v>202</v>
      </c>
    </row>
    <row r="551" spans="1:5" x14ac:dyDescent="0.25">
      <c r="A551">
        <v>430</v>
      </c>
      <c r="B551" t="s">
        <v>143</v>
      </c>
      <c r="D551" t="s">
        <v>194</v>
      </c>
      <c r="E551" t="s">
        <v>202</v>
      </c>
    </row>
    <row r="552" spans="1:5" x14ac:dyDescent="0.25">
      <c r="A552">
        <v>431</v>
      </c>
      <c r="B552" t="s">
        <v>143</v>
      </c>
      <c r="D552" t="s">
        <v>194</v>
      </c>
      <c r="E552" t="s">
        <v>202</v>
      </c>
    </row>
    <row r="553" spans="1:5" x14ac:dyDescent="0.25">
      <c r="A553">
        <v>10</v>
      </c>
      <c r="B553" t="s">
        <v>9</v>
      </c>
      <c r="D553" t="s">
        <v>194</v>
      </c>
      <c r="E553" t="s">
        <v>202</v>
      </c>
    </row>
    <row r="554" spans="1:5" x14ac:dyDescent="0.25">
      <c r="A554">
        <v>9</v>
      </c>
      <c r="B554" t="s">
        <v>9</v>
      </c>
      <c r="D554" t="s">
        <v>194</v>
      </c>
      <c r="E554" t="s">
        <v>202</v>
      </c>
    </row>
    <row r="555" spans="1:5" x14ac:dyDescent="0.25">
      <c r="A555">
        <v>247</v>
      </c>
      <c r="B555" t="s">
        <v>90</v>
      </c>
      <c r="D555" t="s">
        <v>194</v>
      </c>
      <c r="E555" t="s">
        <v>202</v>
      </c>
    </row>
    <row r="556" spans="1:5" x14ac:dyDescent="0.25">
      <c r="A556">
        <v>399</v>
      </c>
      <c r="B556" t="s">
        <v>135</v>
      </c>
      <c r="D556" t="s">
        <v>194</v>
      </c>
      <c r="E556" t="s">
        <v>202</v>
      </c>
    </row>
    <row r="557" spans="1:5" x14ac:dyDescent="0.25">
      <c r="A557">
        <v>249</v>
      </c>
      <c r="B557" t="s">
        <v>91</v>
      </c>
      <c r="D557" t="s">
        <v>194</v>
      </c>
      <c r="E557" t="s">
        <v>202</v>
      </c>
    </row>
    <row r="558" spans="1:5" x14ac:dyDescent="0.25">
      <c r="A558">
        <v>359</v>
      </c>
      <c r="B558" t="s">
        <v>127</v>
      </c>
      <c r="D558" t="s">
        <v>194</v>
      </c>
      <c r="E558" t="s">
        <v>202</v>
      </c>
    </row>
    <row r="559" spans="1:5" x14ac:dyDescent="0.25">
      <c r="A559">
        <v>193</v>
      </c>
      <c r="B559" t="s">
        <v>76</v>
      </c>
      <c r="D559" t="s">
        <v>194</v>
      </c>
      <c r="E559" t="s">
        <v>202</v>
      </c>
    </row>
    <row r="560" spans="1:5" x14ac:dyDescent="0.25">
      <c r="A560">
        <v>194</v>
      </c>
      <c r="B560" t="s">
        <v>76</v>
      </c>
      <c r="D560" t="s">
        <v>194</v>
      </c>
      <c r="E560" t="s">
        <v>202</v>
      </c>
    </row>
    <row r="561" spans="1:5" x14ac:dyDescent="0.25">
      <c r="A561">
        <v>196</v>
      </c>
      <c r="B561" t="s">
        <v>77</v>
      </c>
      <c r="D561" t="s">
        <v>194</v>
      </c>
      <c r="E561" t="s">
        <v>202</v>
      </c>
    </row>
    <row r="562" spans="1:5" x14ac:dyDescent="0.25">
      <c r="A562">
        <v>368</v>
      </c>
      <c r="B562" t="s">
        <v>130</v>
      </c>
      <c r="D562" t="s">
        <v>194</v>
      </c>
      <c r="E562" t="s">
        <v>203</v>
      </c>
    </row>
  </sheetData>
  <autoFilter ref="A1:E572" xr:uid="{12703A51-A208-4FE1-B895-956D1C1B2261}">
    <sortState xmlns:xlrd2="http://schemas.microsoft.com/office/spreadsheetml/2017/richdata2" ref="A2:E562">
      <sortCondition ref="E1:E572"/>
    </sortState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3117-D217-4DB4-B9CC-B9C2BDAE14D8}">
  <dimension ref="A1:O43"/>
  <sheetViews>
    <sheetView tabSelected="1" workbookViewId="0">
      <pane ySplit="1" topLeftCell="A2" activePane="bottomLeft" state="frozen"/>
      <selection pane="bottomLeft" activeCell="N2" sqref="N2:O4"/>
    </sheetView>
  </sheetViews>
  <sheetFormatPr defaultRowHeight="15" x14ac:dyDescent="0.25"/>
  <cols>
    <col min="2" max="2" width="66" bestFit="1" customWidth="1"/>
    <col min="9" max="9" width="4" bestFit="1" customWidth="1"/>
    <col min="12" max="12" width="4" bestFit="1" customWidth="1"/>
    <col min="14" max="14" width="10.140625" bestFit="1" customWidth="1"/>
    <col min="15" max="15" width="4" bestFit="1" customWidth="1"/>
  </cols>
  <sheetData>
    <row r="1" spans="1:15" x14ac:dyDescent="0.25">
      <c r="A1" t="s">
        <v>0</v>
      </c>
      <c r="B1" t="s">
        <v>1</v>
      </c>
      <c r="C1" s="2">
        <f>SUM(C2:C29)</f>
        <v>561</v>
      </c>
      <c r="D1" t="s">
        <v>260</v>
      </c>
      <c r="E1" t="s">
        <v>261</v>
      </c>
      <c r="F1" t="s">
        <v>262</v>
      </c>
      <c r="H1" t="s">
        <v>277</v>
      </c>
      <c r="I1">
        <f>SUM(I2:I5)</f>
        <v>561</v>
      </c>
      <c r="K1" t="s">
        <v>276</v>
      </c>
      <c r="L1">
        <f>SUM(L2:L5)</f>
        <v>561</v>
      </c>
      <c r="O1">
        <f>SUM(O2:O5)</f>
        <v>561</v>
      </c>
    </row>
    <row r="2" spans="1:15" x14ac:dyDescent="0.25">
      <c r="A2">
        <v>277</v>
      </c>
      <c r="B2" t="s">
        <v>270</v>
      </c>
      <c r="C2">
        <v>8</v>
      </c>
      <c r="D2" t="b">
        <f>B2=B1</f>
        <v>0</v>
      </c>
      <c r="E2" t="s">
        <v>273</v>
      </c>
      <c r="H2" t="s">
        <v>263</v>
      </c>
      <c r="I2">
        <v>351</v>
      </c>
      <c r="K2" t="s">
        <v>274</v>
      </c>
      <c r="L2">
        <v>56</v>
      </c>
      <c r="N2" t="s">
        <v>279</v>
      </c>
      <c r="O2">
        <v>325</v>
      </c>
    </row>
    <row r="3" spans="1:15" x14ac:dyDescent="0.25">
      <c r="A3">
        <v>311</v>
      </c>
      <c r="B3" t="s">
        <v>278</v>
      </c>
      <c r="C3">
        <v>1</v>
      </c>
      <c r="D3" t="b">
        <f>B3=B2</f>
        <v>0</v>
      </c>
      <c r="H3" s="3" t="s">
        <v>264</v>
      </c>
      <c r="I3">
        <v>26</v>
      </c>
      <c r="K3" t="s">
        <v>275</v>
      </c>
      <c r="L3">
        <v>505</v>
      </c>
      <c r="N3" t="s">
        <v>280</v>
      </c>
      <c r="O3">
        <v>225</v>
      </c>
    </row>
    <row r="4" spans="1:15" x14ac:dyDescent="0.25">
      <c r="A4">
        <v>312</v>
      </c>
      <c r="B4" t="s">
        <v>271</v>
      </c>
      <c r="C4">
        <v>2</v>
      </c>
      <c r="D4" t="b">
        <f>B4=B3</f>
        <v>0</v>
      </c>
      <c r="H4" t="s">
        <v>266</v>
      </c>
      <c r="I4">
        <v>4</v>
      </c>
      <c r="N4" t="s">
        <v>281</v>
      </c>
      <c r="O4">
        <v>11</v>
      </c>
    </row>
    <row r="5" spans="1:15" x14ac:dyDescent="0.25">
      <c r="A5">
        <v>21</v>
      </c>
      <c r="B5" t="s">
        <v>267</v>
      </c>
      <c r="C5">
        <v>1</v>
      </c>
      <c r="D5" t="b">
        <f>B5=B4</f>
        <v>0</v>
      </c>
      <c r="H5" s="3" t="s">
        <v>265</v>
      </c>
      <c r="I5">
        <v>180</v>
      </c>
    </row>
    <row r="6" spans="1:15" x14ac:dyDescent="0.25">
      <c r="A6">
        <v>278</v>
      </c>
      <c r="B6" t="s">
        <v>272</v>
      </c>
      <c r="C6">
        <v>11</v>
      </c>
      <c r="D6" t="b">
        <f>B6=B5</f>
        <v>0</v>
      </c>
      <c r="E6" t="s">
        <v>273</v>
      </c>
    </row>
    <row r="7" spans="1:15" x14ac:dyDescent="0.25">
      <c r="A7">
        <v>284</v>
      </c>
      <c r="B7" t="s">
        <v>268</v>
      </c>
      <c r="C7">
        <v>213</v>
      </c>
      <c r="D7" t="b">
        <f>B7=B6</f>
        <v>0</v>
      </c>
      <c r="E7" t="s">
        <v>273</v>
      </c>
    </row>
    <row r="8" spans="1:15" x14ac:dyDescent="0.25">
      <c r="A8">
        <v>41</v>
      </c>
      <c r="B8" t="s">
        <v>269</v>
      </c>
      <c r="C8">
        <v>325</v>
      </c>
      <c r="D8" t="b">
        <f>B8=B7</f>
        <v>0</v>
      </c>
    </row>
    <row r="16" spans="1:15" x14ac:dyDescent="0.25">
      <c r="E16" t="s">
        <v>273</v>
      </c>
    </row>
    <row r="17" spans="4:5" x14ac:dyDescent="0.25">
      <c r="E17" t="s">
        <v>273</v>
      </c>
    </row>
    <row r="18" spans="4:5" x14ac:dyDescent="0.25">
      <c r="D18" s="3"/>
    </row>
    <row r="21" spans="4:5" x14ac:dyDescent="0.25">
      <c r="D21" s="3"/>
    </row>
    <row r="22" spans="4:5" x14ac:dyDescent="0.25">
      <c r="D22" s="3"/>
    </row>
    <row r="23" spans="4:5" x14ac:dyDescent="0.25">
      <c r="D23" s="3"/>
    </row>
    <row r="25" spans="4:5" x14ac:dyDescent="0.25">
      <c r="D25" s="3"/>
    </row>
    <row r="26" spans="4:5" x14ac:dyDescent="0.25">
      <c r="D26" s="3"/>
    </row>
    <row r="27" spans="4:5" x14ac:dyDescent="0.25">
      <c r="D27" s="3"/>
    </row>
    <row r="29" spans="4:5" x14ac:dyDescent="0.25">
      <c r="D29" s="3"/>
    </row>
    <row r="30" spans="4:5" x14ac:dyDescent="0.25">
      <c r="D30" s="3"/>
    </row>
    <row r="32" spans="4:5" x14ac:dyDescent="0.25">
      <c r="D32" s="3"/>
    </row>
    <row r="33" spans="3:4" x14ac:dyDescent="0.25">
      <c r="D33" s="3"/>
    </row>
    <row r="36" spans="3:4" x14ac:dyDescent="0.25">
      <c r="D36" s="3"/>
    </row>
    <row r="37" spans="3:4" x14ac:dyDescent="0.25">
      <c r="D37" s="3"/>
    </row>
    <row r="43" spans="3:4" x14ac:dyDescent="0.25">
      <c r="C43">
        <f>SUM(C2:C41)</f>
        <v>561</v>
      </c>
    </row>
  </sheetData>
  <autoFilter ref="A1:F39" xr:uid="{A8FB08CE-F61F-4C5B-9D2C-926000E28C01}">
    <sortState xmlns:xlrd2="http://schemas.microsoft.com/office/spreadsheetml/2017/richdata2" ref="A2:F39">
      <sortCondition ref="B1:B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6911-18E7-4048-97A8-E712B9F162DA}">
  <dimension ref="A1:F27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57.140625" bestFit="1" customWidth="1"/>
    <col min="2" max="2" width="4.42578125" bestFit="1" customWidth="1"/>
  </cols>
  <sheetData>
    <row r="1" spans="1:6" x14ac:dyDescent="0.25">
      <c r="A1" t="s">
        <v>1</v>
      </c>
      <c r="B1" t="s">
        <v>2</v>
      </c>
      <c r="E1" t="s">
        <v>234</v>
      </c>
    </row>
    <row r="2" spans="1:6" x14ac:dyDescent="0.25">
      <c r="A2" t="s">
        <v>239</v>
      </c>
      <c r="B2">
        <v>4</v>
      </c>
      <c r="C2" t="e">
        <f>FIND("data$",A2)</f>
        <v>#VALUE!</v>
      </c>
      <c r="D2" t="e">
        <f t="shared" ref="D2:D26" si="0">FIND("@ed",A2)</f>
        <v>#VALUE!</v>
      </c>
    </row>
    <row r="3" spans="1:6" x14ac:dyDescent="0.25">
      <c r="A3" t="s">
        <v>253</v>
      </c>
      <c r="B3">
        <v>1</v>
      </c>
      <c r="C3" t="e">
        <f t="shared" ref="C3:C26" si="1">FIND("data$",A3)</f>
        <v>#VALUE!</v>
      </c>
      <c r="D3" t="e">
        <f t="shared" si="0"/>
        <v>#VALUE!</v>
      </c>
    </row>
    <row r="4" spans="1:6" x14ac:dyDescent="0.25">
      <c r="A4" t="s">
        <v>255</v>
      </c>
      <c r="B4">
        <v>2</v>
      </c>
      <c r="C4" t="e">
        <f t="shared" si="1"/>
        <v>#VALUE!</v>
      </c>
      <c r="D4" t="e">
        <f t="shared" si="0"/>
        <v>#VALUE!</v>
      </c>
    </row>
    <row r="5" spans="1:6" x14ac:dyDescent="0.25">
      <c r="A5" t="s">
        <v>246</v>
      </c>
      <c r="B5">
        <v>1</v>
      </c>
      <c r="C5" t="e">
        <f t="shared" si="1"/>
        <v>#VALUE!</v>
      </c>
      <c r="D5" t="e">
        <f t="shared" si="0"/>
        <v>#VALUE!</v>
      </c>
    </row>
    <row r="6" spans="1:6" x14ac:dyDescent="0.25">
      <c r="A6" t="s">
        <v>243</v>
      </c>
      <c r="B6">
        <v>19</v>
      </c>
      <c r="C6" t="e">
        <f t="shared" si="1"/>
        <v>#VALUE!</v>
      </c>
      <c r="D6">
        <f t="shared" si="0"/>
        <v>26</v>
      </c>
    </row>
    <row r="7" spans="1:6" x14ac:dyDescent="0.25">
      <c r="A7" t="s">
        <v>254</v>
      </c>
      <c r="B7">
        <v>1</v>
      </c>
      <c r="C7" t="e">
        <f t="shared" si="1"/>
        <v>#VALUE!</v>
      </c>
      <c r="D7" t="e">
        <f t="shared" si="0"/>
        <v>#VALUE!</v>
      </c>
    </row>
    <row r="8" spans="1:6" x14ac:dyDescent="0.25">
      <c r="A8" t="s">
        <v>257</v>
      </c>
      <c r="B8">
        <v>1</v>
      </c>
      <c r="C8" t="e">
        <f t="shared" si="1"/>
        <v>#VALUE!</v>
      </c>
      <c r="D8" t="e">
        <f t="shared" si="0"/>
        <v>#VALUE!</v>
      </c>
      <c r="F8">
        <f>SUM(B2:B8)</f>
        <v>29</v>
      </c>
    </row>
    <row r="9" spans="1:6" x14ac:dyDescent="0.25">
      <c r="A9" t="s">
        <v>245</v>
      </c>
      <c r="B9">
        <v>1</v>
      </c>
      <c r="C9">
        <f t="shared" si="1"/>
        <v>14</v>
      </c>
      <c r="D9" t="e">
        <f t="shared" si="0"/>
        <v>#VALUE!</v>
      </c>
    </row>
    <row r="10" spans="1:6" x14ac:dyDescent="0.25">
      <c r="A10" t="s">
        <v>244</v>
      </c>
      <c r="B10">
        <v>6</v>
      </c>
      <c r="C10">
        <f t="shared" si="1"/>
        <v>14</v>
      </c>
      <c r="D10">
        <f t="shared" si="0"/>
        <v>41</v>
      </c>
    </row>
    <row r="11" spans="1:6" x14ac:dyDescent="0.25">
      <c r="A11" t="s">
        <v>242</v>
      </c>
      <c r="B11">
        <v>1</v>
      </c>
      <c r="C11">
        <f t="shared" si="1"/>
        <v>18</v>
      </c>
      <c r="D11" t="e">
        <f t="shared" si="0"/>
        <v>#VALUE!</v>
      </c>
    </row>
    <row r="12" spans="1:6" x14ac:dyDescent="0.25">
      <c r="A12" t="s">
        <v>238</v>
      </c>
      <c r="B12">
        <v>6</v>
      </c>
      <c r="C12" t="e">
        <f t="shared" si="1"/>
        <v>#VALUE!</v>
      </c>
      <c r="D12" t="e">
        <f t="shared" si="0"/>
        <v>#VALUE!</v>
      </c>
    </row>
    <row r="13" spans="1:6" x14ac:dyDescent="0.25">
      <c r="A13" t="s">
        <v>247</v>
      </c>
      <c r="B13">
        <v>24</v>
      </c>
      <c r="C13" t="e">
        <f t="shared" si="1"/>
        <v>#VALUE!</v>
      </c>
      <c r="D13" t="e">
        <f t="shared" si="0"/>
        <v>#VALUE!</v>
      </c>
    </row>
    <row r="14" spans="1:6" x14ac:dyDescent="0.25">
      <c r="A14" t="s">
        <v>240</v>
      </c>
      <c r="B14">
        <v>19</v>
      </c>
      <c r="C14" t="e">
        <f t="shared" si="1"/>
        <v>#VALUE!</v>
      </c>
      <c r="D14" t="e">
        <f t="shared" si="0"/>
        <v>#VALUE!</v>
      </c>
    </row>
    <row r="15" spans="1:6" x14ac:dyDescent="0.25">
      <c r="A15" t="s">
        <v>248</v>
      </c>
      <c r="B15">
        <v>1</v>
      </c>
      <c r="C15" t="e">
        <f t="shared" si="1"/>
        <v>#VALUE!</v>
      </c>
      <c r="D15" t="e">
        <f t="shared" si="0"/>
        <v>#VALUE!</v>
      </c>
    </row>
    <row r="16" spans="1:6" x14ac:dyDescent="0.25">
      <c r="A16" t="s">
        <v>249</v>
      </c>
      <c r="B16">
        <v>3</v>
      </c>
      <c r="C16" t="e">
        <f t="shared" si="1"/>
        <v>#VALUE!</v>
      </c>
      <c r="D16" t="e">
        <f t="shared" si="0"/>
        <v>#VALUE!</v>
      </c>
      <c r="F16">
        <f>SUM(B13:B16)</f>
        <v>47</v>
      </c>
    </row>
    <row r="17" spans="1:6" x14ac:dyDescent="0.25">
      <c r="A17" t="s">
        <v>250</v>
      </c>
      <c r="B17">
        <v>96</v>
      </c>
      <c r="C17" t="e">
        <f t="shared" si="1"/>
        <v>#VALUE!</v>
      </c>
      <c r="D17" t="e">
        <f t="shared" si="0"/>
        <v>#VALUE!</v>
      </c>
    </row>
    <row r="18" spans="1:6" x14ac:dyDescent="0.25">
      <c r="A18" t="s">
        <v>251</v>
      </c>
      <c r="B18">
        <v>1</v>
      </c>
      <c r="C18" t="e">
        <f t="shared" si="1"/>
        <v>#VALUE!</v>
      </c>
      <c r="D18" t="e">
        <f t="shared" si="0"/>
        <v>#VALUE!</v>
      </c>
    </row>
    <row r="19" spans="1:6" x14ac:dyDescent="0.25">
      <c r="A19" t="s">
        <v>252</v>
      </c>
      <c r="B19">
        <v>1</v>
      </c>
      <c r="C19" t="e">
        <f t="shared" si="1"/>
        <v>#VALUE!</v>
      </c>
      <c r="D19" t="e">
        <f t="shared" si="0"/>
        <v>#VALUE!</v>
      </c>
    </row>
    <row r="20" spans="1:6" x14ac:dyDescent="0.25">
      <c r="A20" t="s">
        <v>235</v>
      </c>
      <c r="B20">
        <v>1</v>
      </c>
      <c r="C20" t="e">
        <f t="shared" si="1"/>
        <v>#VALUE!</v>
      </c>
      <c r="D20" t="e">
        <f t="shared" si="0"/>
        <v>#VALUE!</v>
      </c>
    </row>
    <row r="21" spans="1:6" x14ac:dyDescent="0.25">
      <c r="A21" t="s">
        <v>237</v>
      </c>
      <c r="B21">
        <v>37</v>
      </c>
      <c r="C21" t="e">
        <f t="shared" si="1"/>
        <v>#VALUE!</v>
      </c>
      <c r="D21" t="e">
        <f t="shared" si="0"/>
        <v>#VALUE!</v>
      </c>
    </row>
    <row r="22" spans="1:6" x14ac:dyDescent="0.25">
      <c r="A22" t="s">
        <v>236</v>
      </c>
      <c r="B22">
        <v>10</v>
      </c>
      <c r="C22" t="e">
        <f t="shared" si="1"/>
        <v>#VALUE!</v>
      </c>
      <c r="D22" t="e">
        <f t="shared" si="0"/>
        <v>#VALUE!</v>
      </c>
    </row>
    <row r="23" spans="1:6" x14ac:dyDescent="0.25">
      <c r="A23" t="s">
        <v>241</v>
      </c>
      <c r="B23">
        <v>1</v>
      </c>
      <c r="C23" t="e">
        <f t="shared" si="1"/>
        <v>#VALUE!</v>
      </c>
      <c r="D23" t="e">
        <f t="shared" si="0"/>
        <v>#VALUE!</v>
      </c>
    </row>
    <row r="24" spans="1:6" x14ac:dyDescent="0.25">
      <c r="A24" t="s">
        <v>259</v>
      </c>
      <c r="B24">
        <v>52</v>
      </c>
      <c r="C24" t="e">
        <f t="shared" si="1"/>
        <v>#VALUE!</v>
      </c>
      <c r="D24" t="e">
        <f t="shared" si="0"/>
        <v>#VALUE!</v>
      </c>
    </row>
    <row r="25" spans="1:6" x14ac:dyDescent="0.25">
      <c r="A25" t="s">
        <v>256</v>
      </c>
      <c r="B25">
        <v>271</v>
      </c>
      <c r="C25" t="e">
        <f t="shared" si="1"/>
        <v>#VALUE!</v>
      </c>
      <c r="D25" t="e">
        <f t="shared" si="0"/>
        <v>#VALUE!</v>
      </c>
    </row>
    <row r="26" spans="1:6" x14ac:dyDescent="0.25">
      <c r="A26" t="s">
        <v>258</v>
      </c>
      <c r="B26">
        <v>1</v>
      </c>
      <c r="C26" t="e">
        <f t="shared" si="1"/>
        <v>#VALUE!</v>
      </c>
      <c r="D26">
        <f t="shared" si="0"/>
        <v>14</v>
      </c>
      <c r="F26">
        <f>SUM(B2:B26)</f>
        <v>561</v>
      </c>
    </row>
    <row r="27" spans="1:6" x14ac:dyDescent="0.25">
      <c r="F27">
        <f>SUM(B27:B30)</f>
        <v>0</v>
      </c>
    </row>
  </sheetData>
  <autoFilter ref="A1:E42" xr:uid="{14E4BF3B-F17D-4F15-AA29-07F4A3022F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Kent, Thomas F - APHIS</dc:creator>
  <cp:lastModifiedBy>Kent, Thomas F - APHIS</cp:lastModifiedBy>
  <dcterms:created xsi:type="dcterms:W3CDTF">2021-10-21T18:03:09Z</dcterms:created>
  <dcterms:modified xsi:type="dcterms:W3CDTF">2021-11-01T21:33:23Z</dcterms:modified>
</cp:coreProperties>
</file>