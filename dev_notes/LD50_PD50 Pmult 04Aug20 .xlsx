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tfkent\Documents\CVB Packages\skrmdb-notes\"/>
    </mc:Choice>
  </mc:AlternateContent>
  <xr:revisionPtr revIDLastSave="0" documentId="13_ncr:1_{C3D1AD11-1A00-4E97-9965-E5B3630E05AC}" xr6:coauthVersionLast="45" xr6:coauthVersionMax="45" xr10:uidLastSave="{00000000-0000-0000-0000-000000000000}"/>
  <bookViews>
    <workbookView xWindow="-120" yWindow="-120" windowWidth="29040" windowHeight="15840" tabRatio="452" xr2:uid="{00000000-000D-0000-FFFF-FFFF00000000}"/>
  </bookViews>
  <sheets>
    <sheet name="LD50" sheetId="1" r:id="rId1"/>
    <sheet name="PD50 Ref" sheetId="2" r:id="rId2"/>
    <sheet name="PD50 Serial" sheetId="3" r:id="rId3"/>
    <sheet name="PD50 Serial2" sheetId="5" r:id="rId4"/>
    <sheet name="PD50 Serial3" sheetId="6" r:id="rId5"/>
    <sheet name="CFU per dose" sheetId="4" r:id="rId6"/>
    <sheet name="Sheet1" sheetId="7" r:id="rId7"/>
  </sheets>
  <definedNames>
    <definedName name="_xlnm.Print_Area" localSheetId="1">'PD50 Ref'!$B$1:$I$29</definedName>
    <definedName name="_xlnm.Print_Area" localSheetId="2">'PD50 Serial'!$A$1:$I$26</definedName>
    <definedName name="_xlnm.Print_Area" localSheetId="3">'PD50 Serial2'!$A$1:$I$27</definedName>
    <definedName name="_xlnm.Print_Area" localSheetId="4">'PD50 Serial3'!$A$1:$I$27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1" i="5" l="1"/>
  <c r="G11" i="5"/>
  <c r="D12" i="1"/>
  <c r="D13" i="1" l="1"/>
  <c r="F7" i="1"/>
  <c r="E12" i="1"/>
  <c r="F12" i="1"/>
  <c r="G12" i="1"/>
  <c r="H12" i="1"/>
  <c r="I12" i="1"/>
  <c r="J12" i="1"/>
  <c r="F14" i="1" l="1"/>
  <c r="G14" i="1"/>
  <c r="I13" i="1" l="1"/>
  <c r="H13" i="1"/>
  <c r="G13" i="1"/>
  <c r="F13" i="1"/>
  <c r="E13" i="1"/>
  <c r="F2" i="2" l="1"/>
  <c r="J14" i="1" l="1"/>
  <c r="I14" i="1"/>
  <c r="H14" i="1"/>
  <c r="J13" i="1"/>
  <c r="D15" i="4" l="1"/>
  <c r="I13" i="7" l="1"/>
  <c r="L26" i="7"/>
  <c r="I14" i="7" s="1"/>
  <c r="H14" i="7"/>
  <c r="H13" i="7"/>
  <c r="H15" i="7" s="1"/>
  <c r="H16" i="7" s="1"/>
  <c r="H17" i="7" s="1"/>
  <c r="H18" i="7" s="1"/>
  <c r="G14" i="7"/>
  <c r="G13" i="7"/>
  <c r="F14" i="7"/>
  <c r="F13" i="7"/>
  <c r="F15" i="7" s="1"/>
  <c r="F16" i="7" s="1"/>
  <c r="F17" i="7" s="1"/>
  <c r="F18" i="7" s="1"/>
  <c r="G15" i="7" l="1"/>
  <c r="G16" i="7" s="1"/>
  <c r="G17" i="7" s="1"/>
  <c r="G18" i="7" s="1"/>
  <c r="G19" i="7" s="1"/>
  <c r="H19" i="7"/>
  <c r="G26" i="7"/>
  <c r="B19" i="7"/>
  <c r="B20" i="7" s="1"/>
  <c r="B16" i="7"/>
  <c r="B17" i="7" s="1"/>
  <c r="B14" i="7"/>
  <c r="B15" i="7" s="1"/>
  <c r="I12" i="6" l="1"/>
  <c r="H12" i="6"/>
  <c r="G12" i="6"/>
  <c r="F12" i="6"/>
  <c r="E12" i="6"/>
  <c r="D12" i="6"/>
  <c r="I11" i="6"/>
  <c r="H11" i="6"/>
  <c r="G11" i="6"/>
  <c r="F11" i="6"/>
  <c r="E11" i="6"/>
  <c r="D11" i="6"/>
  <c r="D8" i="6"/>
  <c r="E8" i="6" s="1"/>
  <c r="F8" i="6" s="1"/>
  <c r="G8" i="6" s="1"/>
  <c r="H8" i="6" s="1"/>
  <c r="I8" i="6" s="1"/>
  <c r="F7" i="6"/>
  <c r="F2" i="6"/>
  <c r="I12" i="5"/>
  <c r="H12" i="5"/>
  <c r="G12" i="5"/>
  <c r="F12" i="5"/>
  <c r="E12" i="5"/>
  <c r="D12" i="5"/>
  <c r="I11" i="5"/>
  <c r="H11" i="5"/>
  <c r="E11" i="5"/>
  <c r="D11" i="5"/>
  <c r="D8" i="5"/>
  <c r="E8" i="5" s="1"/>
  <c r="F8" i="5" s="1"/>
  <c r="G8" i="5" s="1"/>
  <c r="H8" i="5" s="1"/>
  <c r="I8" i="5" s="1"/>
  <c r="F7" i="5"/>
  <c r="F2" i="5"/>
  <c r="I13" i="6" l="1"/>
  <c r="I14" i="6" s="1"/>
  <c r="I15" i="6" s="1"/>
  <c r="I13" i="5"/>
  <c r="I14" i="5" s="1"/>
  <c r="I15" i="5" s="1"/>
  <c r="D13" i="6"/>
  <c r="D14" i="6" s="1"/>
  <c r="D15" i="6" s="1"/>
  <c r="E13" i="6"/>
  <c r="E14" i="6" s="1"/>
  <c r="E15" i="6" s="1"/>
  <c r="F13" i="6"/>
  <c r="F14" i="6" s="1"/>
  <c r="F15" i="6" s="1"/>
  <c r="G13" i="6"/>
  <c r="G14" i="6" s="1"/>
  <c r="G15" i="6" s="1"/>
  <c r="H13" i="6"/>
  <c r="H14" i="6" s="1"/>
  <c r="H15" i="6" s="1"/>
  <c r="D13" i="5"/>
  <c r="D14" i="5" s="1"/>
  <c r="E13" i="5"/>
  <c r="E14" i="5" s="1"/>
  <c r="F13" i="5"/>
  <c r="F14" i="5" s="1"/>
  <c r="G13" i="5"/>
  <c r="G14" i="5" s="1"/>
  <c r="G15" i="5" s="1"/>
  <c r="H13" i="5"/>
  <c r="H14" i="5" s="1"/>
  <c r="H15" i="5" s="1"/>
  <c r="H21" i="5" s="1"/>
  <c r="D15" i="5" l="1"/>
  <c r="F15" i="5"/>
  <c r="E15" i="5"/>
  <c r="H22" i="5"/>
  <c r="H16" i="5"/>
  <c r="G22" i="5"/>
  <c r="G21" i="5"/>
  <c r="G16" i="5"/>
  <c r="H16" i="6"/>
  <c r="H22" i="6"/>
  <c r="H21" i="6"/>
  <c r="G16" i="6"/>
  <c r="G22" i="6"/>
  <c r="G21" i="6"/>
  <c r="D21" i="5" l="1"/>
  <c r="D22" i="5" s="1"/>
  <c r="D16" i="5"/>
  <c r="E21" i="5"/>
  <c r="E22" i="5" s="1"/>
  <c r="E16" i="5"/>
  <c r="F22" i="5"/>
  <c r="F21" i="5"/>
  <c r="F16" i="5"/>
  <c r="D16" i="6"/>
  <c r="D22" i="6"/>
  <c r="D21" i="6"/>
  <c r="E16" i="6"/>
  <c r="E21" i="6"/>
  <c r="E22" i="6" s="1"/>
  <c r="F16" i="6"/>
  <c r="F22" i="6"/>
  <c r="F21" i="6"/>
  <c r="F2" i="3"/>
  <c r="I15" i="4" l="1"/>
  <c r="I16" i="4" s="1"/>
  <c r="I17" i="4" s="1"/>
  <c r="H15" i="4"/>
  <c r="H16" i="4" s="1"/>
  <c r="H17" i="4" s="1"/>
  <c r="G15" i="4"/>
  <c r="G16" i="4" s="1"/>
  <c r="G17" i="4" s="1"/>
  <c r="F15" i="4"/>
  <c r="E15" i="4"/>
  <c r="E16" i="4" s="1"/>
  <c r="F2" i="4"/>
  <c r="D11" i="4"/>
  <c r="E11" i="4" l="1"/>
  <c r="F11" i="4" s="1"/>
  <c r="G11" i="4" s="1"/>
  <c r="H11" i="4" s="1"/>
  <c r="I11" i="4" s="1"/>
  <c r="E17" i="4"/>
  <c r="F16" i="4"/>
  <c r="F17" i="4" s="1"/>
  <c r="I12" i="3"/>
  <c r="H12" i="3"/>
  <c r="G12" i="3"/>
  <c r="F12" i="3"/>
  <c r="E12" i="3"/>
  <c r="D12" i="3"/>
  <c r="I11" i="3"/>
  <c r="H11" i="3"/>
  <c r="G11" i="3"/>
  <c r="F11" i="3"/>
  <c r="E11" i="3"/>
  <c r="D11" i="3"/>
  <c r="F7" i="3"/>
  <c r="D8" i="3"/>
  <c r="E8" i="3" s="1"/>
  <c r="F8" i="3" s="1"/>
  <c r="G8" i="3" s="1"/>
  <c r="H8" i="3" s="1"/>
  <c r="I8" i="3" s="1"/>
  <c r="F7" i="2"/>
  <c r="I12" i="2"/>
  <c r="H12" i="2"/>
  <c r="G12" i="2"/>
  <c r="F12" i="2"/>
  <c r="E12" i="2"/>
  <c r="D12" i="2"/>
  <c r="I11" i="2"/>
  <c r="H11" i="2"/>
  <c r="G11" i="2"/>
  <c r="F11" i="2"/>
  <c r="E11" i="2"/>
  <c r="D11" i="2"/>
  <c r="D8" i="2"/>
  <c r="E8" i="2" s="1"/>
  <c r="F8" i="2" s="1"/>
  <c r="G8" i="2" s="1"/>
  <c r="H8" i="2" s="1"/>
  <c r="I8" i="2" s="1"/>
  <c r="D9" i="1"/>
  <c r="E9" i="1" s="1"/>
  <c r="F9" i="1" s="1"/>
  <c r="G9" i="1" s="1"/>
  <c r="H9" i="1" s="1"/>
  <c r="I9" i="1" s="1"/>
  <c r="J9" i="1" s="1"/>
  <c r="D14" i="1"/>
  <c r="D15" i="1" s="1"/>
  <c r="J15" i="1" l="1"/>
  <c r="E13" i="3"/>
  <c r="E14" i="3" s="1"/>
  <c r="G13" i="3"/>
  <c r="G14" i="3" s="1"/>
  <c r="I13" i="3"/>
  <c r="I14" i="3" s="1"/>
  <c r="I15" i="3" s="1"/>
  <c r="I22" i="3" s="1"/>
  <c r="F13" i="3"/>
  <c r="F14" i="3" s="1"/>
  <c r="F15" i="3" s="1"/>
  <c r="D13" i="3"/>
  <c r="H13" i="3"/>
  <c r="H14" i="3" s="1"/>
  <c r="H15" i="3" s="1"/>
  <c r="H22" i="3" s="1"/>
  <c r="E13" i="2"/>
  <c r="E14" i="2" s="1"/>
  <c r="G13" i="2"/>
  <c r="G14" i="2" s="1"/>
  <c r="H13" i="2"/>
  <c r="H14" i="2" s="1"/>
  <c r="I13" i="2"/>
  <c r="I14" i="2" s="1"/>
  <c r="I15" i="2" s="1"/>
  <c r="F13" i="2"/>
  <c r="F14" i="2" s="1"/>
  <c r="D13" i="2"/>
  <c r="D14" i="2" s="1"/>
  <c r="G15" i="1"/>
  <c r="I15" i="1"/>
  <c r="H15" i="1"/>
  <c r="E14" i="1"/>
  <c r="E15" i="1" s="1"/>
  <c r="F15" i="1"/>
  <c r="G15" i="3" l="1"/>
  <c r="G22" i="3" s="1"/>
  <c r="F15" i="2"/>
  <c r="F22" i="2" s="1"/>
  <c r="E15" i="3"/>
  <c r="E15" i="2"/>
  <c r="E16" i="2" s="1"/>
  <c r="D15" i="2"/>
  <c r="D16" i="2" s="1"/>
  <c r="H15" i="2"/>
  <c r="H21" i="2" s="1"/>
  <c r="G15" i="2"/>
  <c r="G21" i="2" s="1"/>
  <c r="F16" i="1"/>
  <c r="J16" i="1"/>
  <c r="J18" i="1" s="1"/>
  <c r="I16" i="1"/>
  <c r="I18" i="1" s="1"/>
  <c r="H16" i="1"/>
  <c r="G16" i="1"/>
  <c r="E16" i="1"/>
  <c r="D16" i="1"/>
  <c r="D14" i="3"/>
  <c r="D15" i="3" s="1"/>
  <c r="D16" i="3" s="1"/>
  <c r="F16" i="3"/>
  <c r="G21" i="3"/>
  <c r="G16" i="3"/>
  <c r="H21" i="3"/>
  <c r="H16" i="3"/>
  <c r="F21" i="3"/>
  <c r="F22" i="3" s="1"/>
  <c r="D21" i="2" l="1"/>
  <c r="D22" i="2" s="1"/>
  <c r="E21" i="2"/>
  <c r="E22" i="2" s="1"/>
  <c r="G22" i="2"/>
  <c r="G16" i="2"/>
  <c r="H16" i="2"/>
  <c r="H22" i="2"/>
  <c r="I23" i="1"/>
  <c r="I24" i="1"/>
  <c r="J17" i="1"/>
  <c r="I17" i="1"/>
  <c r="D17" i="1"/>
  <c r="D19" i="1" s="1"/>
  <c r="F17" i="1"/>
  <c r="F18" i="1" s="1"/>
  <c r="D21" i="3"/>
  <c r="D22" i="3" s="1"/>
  <c r="F23" i="1"/>
  <c r="F24" i="1" s="1"/>
  <c r="G17" i="1"/>
  <c r="G18" i="1" s="1"/>
  <c r="H17" i="1"/>
  <c r="H18" i="1" s="1"/>
  <c r="G23" i="1"/>
  <c r="G24" i="1" s="1"/>
  <c r="H23" i="1"/>
  <c r="H24" i="1" s="1"/>
  <c r="F16" i="2"/>
  <c r="D18" i="6" s="1"/>
  <c r="F21" i="2"/>
  <c r="E21" i="3"/>
  <c r="E22" i="3" s="1"/>
  <c r="E16" i="3"/>
  <c r="D18" i="5"/>
  <c r="D23" i="1"/>
  <c r="D24" i="1" s="1"/>
  <c r="E17" i="1"/>
  <c r="E19" i="1" s="1"/>
  <c r="E23" i="1"/>
  <c r="E24" i="1" s="1"/>
  <c r="D16" i="4"/>
  <c r="D17" i="4" s="1"/>
  <c r="D18" i="4" s="1"/>
  <c r="D18" i="1" l="1"/>
  <c r="H19" i="1"/>
  <c r="F19" i="1"/>
  <c r="E18" i="1"/>
  <c r="G19" i="1"/>
  <c r="D18" i="3"/>
  <c r="I15" i="7"/>
  <c r="I16" i="7" s="1"/>
  <c r="I17" i="7" s="1"/>
  <c r="I18" i="7" s="1"/>
  <c r="I19" i="7" s="1"/>
</calcChain>
</file>

<file path=xl/sharedStrings.xml><?xml version="1.0" encoding="utf-8"?>
<sst xmlns="http://schemas.openxmlformats.org/spreadsheetml/2006/main" count="190" uniqueCount="86">
  <si>
    <t>% infected:</t>
  </si>
  <si>
    <t>prop dist:</t>
  </si>
  <si>
    <t xml:space="preserve">    This is your calculated dilution series:</t>
  </si>
  <si>
    <t xml:space="preserve">    These values are calculated automatically:</t>
  </si>
  <si>
    <t>4. Enter the total # of animals per dilution</t>
  </si>
  <si>
    <t>1/LD50:</t>
  </si>
  <si>
    <t>Challenge Dilution:</t>
  </si>
  <si>
    <t>Initial dilution:</t>
  </si>
  <si>
    <t>Dilution factor:</t>
  </si>
  <si>
    <t>LD50 Calculator</t>
  </si>
  <si>
    <t>survivors:</t>
  </si>
  <si>
    <t>deaths:</t>
  </si>
  <si>
    <t>total animals:</t>
  </si>
  <si>
    <t>PD50 Reference Calculator</t>
  </si>
  <si>
    <t>6. This is the inverse of the PD50</t>
  </si>
  <si>
    <t>1/PD50:</t>
  </si>
  <si>
    <t>Log(dil factor):</t>
  </si>
  <si>
    <t>*Final Number</t>
  </si>
  <si>
    <t>Log(Dil Factor):</t>
  </si>
  <si>
    <t>5. Enter the # of survivors per dilution</t>
  </si>
  <si>
    <t>% survival:</t>
  </si>
  <si>
    <t>RP:</t>
  </si>
  <si>
    <t>cumulative deaths (R→L):</t>
  </si>
  <si>
    <t>cumulative survivors (L→R):</t>
  </si>
  <si>
    <t>Test ID:</t>
  </si>
  <si>
    <t>cumulative survivors (R→L):</t>
  </si>
  <si>
    <t>cumulative deaths (L→R):</t>
  </si>
  <si>
    <t>Unknown Serial:</t>
  </si>
  <si>
    <t>Reference:</t>
  </si>
  <si>
    <t>2. Enter the starting dilution</t>
  </si>
  <si>
    <t>3. Enter the dilution factor</t>
  </si>
  <si>
    <t>1. Enter the serial being tested</t>
  </si>
  <si>
    <t>8.  Values for TWS</t>
  </si>
  <si>
    <t>Inverse Log(Fin Num)</t>
  </si>
  <si>
    <t>1. Enter the reference name</t>
  </si>
  <si>
    <t>1. Enter the challenge identification</t>
  </si>
  <si>
    <t>Challenge identification:</t>
  </si>
  <si>
    <t>4. Enter the challenge dilution</t>
  </si>
  <si>
    <t>5. Enter the total # of animals per dilution</t>
  </si>
  <si>
    <t>6. Enter the # of deaths per dilution</t>
  </si>
  <si>
    <t>7. This is the inverse of the LD50</t>
  </si>
  <si>
    <t>8. This is the LD50 Received Per Animal</t>
  </si>
  <si>
    <t>9.  Values for TWS</t>
  </si>
  <si>
    <t>*Final Number = prop dist  X  Log(Dil Factor)</t>
  </si>
  <si>
    <t>7.  Values for TWS</t>
  </si>
  <si>
    <t>*Final Number = prop dist X Log(Dil Factor)</t>
  </si>
  <si>
    <t>LD50/animal (scientific):</t>
  </si>
  <si>
    <t>1/PD50 (scientific):</t>
  </si>
  <si>
    <t>LD50/animal (general format):</t>
  </si>
  <si>
    <t>6. Enter Plate 1 Colony  Counts</t>
  </si>
  <si>
    <t>colonies</t>
  </si>
  <si>
    <t>Total Colonies:</t>
  </si>
  <si>
    <t>Average Colonies:</t>
  </si>
  <si>
    <t xml:space="preserve">       These are calculated</t>
  </si>
  <si>
    <t>Plated volume:</t>
  </si>
  <si>
    <t>5. Enter your plated Volume (mL)</t>
  </si>
  <si>
    <t>6. Enter your challenge dose (mL)</t>
  </si>
  <si>
    <t>Challenge dilution:</t>
  </si>
  <si>
    <t>Challenge dose:</t>
  </si>
  <si>
    <t>7. This is the CFU/dose</t>
  </si>
  <si>
    <t>Colony Forming Units/Dose</t>
  </si>
  <si>
    <t>CFU/dose:</t>
  </si>
  <si>
    <t>7. Enter Plate 2 Colony  Counts</t>
  </si>
  <si>
    <t>8. Enter Plate 3 Colony  Counts</t>
  </si>
  <si>
    <t>PD50 Serial Calculator</t>
  </si>
  <si>
    <t>7. This is the Relative Potency (RP)</t>
  </si>
  <si>
    <t>ref</t>
  </si>
  <si>
    <t>s1</t>
  </si>
  <si>
    <t>s2</t>
  </si>
  <si>
    <t>s3</t>
  </si>
  <si>
    <t xml:space="preserve"> </t>
  </si>
  <si>
    <t>Scientific CFR/Dose</t>
  </si>
  <si>
    <t>Result</t>
  </si>
  <si>
    <t>LD50</t>
  </si>
  <si>
    <t>100 LD50</t>
  </si>
  <si>
    <t>Log10</t>
  </si>
  <si>
    <t>3/3</t>
  </si>
  <si>
    <t>2/3</t>
  </si>
  <si>
    <t>1:1778</t>
  </si>
  <si>
    <t>1:3163</t>
  </si>
  <si>
    <t>0/3</t>
  </si>
  <si>
    <t>Firm 290 ser# 25029</t>
  </si>
  <si>
    <t>Pmult Porcine IRP490</t>
  </si>
  <si>
    <t>827-2251</t>
  </si>
  <si>
    <t>Pmult Por IRP 573</t>
  </si>
  <si>
    <t>Firm 196, ser# C810737A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</si>
</sst>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>
    <font>
      <vertAlign val="subscript"/>
      <sz val="10"/>
      <name val="Verdana"/>
    </font>
    <font>
      <u/>
      <sz val="10"/>
      <color indexed="12"/>
      <name val="Verdana"/>
      <family val="2"/>
    </font>
    <font>
      <b/>
      <sz val="12"/>
      <name val="Futura"/>
    </font>
    <font>
      <b/>
      <sz val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12"/>
      <name val="Calibri"/>
      <family val="2"/>
      <scheme val="minor"/>
    </font>
    <font>
      <b/>
      <u/>
      <sz val="12"/>
      <color indexed="12"/>
      <name val="Calibri"/>
      <family val="2"/>
      <scheme val="minor"/>
    </font>
    <font>
      <b/>
      <sz val="2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9FF6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/>
    <xf numFmtId="0" fontId="6" fillId="2" borderId="0" xfId="1" applyFont="1" applyFill="1" applyBorder="1" applyAlignment="1" applyProtection="1"/>
    <xf numFmtId="0" fontId="0" fillId="0" borderId="0" xfId="0" applyAlignment="1">
      <alignment horizontal="right"/>
    </xf>
    <xf numFmtId="0" fontId="3" fillId="2" borderId="0" xfId="0" applyFont="1" applyFill="1" applyBorder="1" applyProtection="1">
      <protection locked="0"/>
    </xf>
    <xf numFmtId="0" fontId="3" fillId="2" borderId="0" xfId="0" applyFont="1" applyFill="1" applyBorder="1" applyAlignment="1" applyProtection="1">
      <alignment horizontal="right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Protection="1">
      <protection locked="0"/>
    </xf>
    <xf numFmtId="0" fontId="3" fillId="2" borderId="0" xfId="0" applyFont="1" applyFill="1" applyBorder="1" applyAlignment="1" applyProtection="1">
      <alignment horizontal="left"/>
      <protection locked="0"/>
    </xf>
    <xf numFmtId="0" fontId="7" fillId="2" borderId="0" xfId="0" applyFont="1" applyFill="1" applyBorder="1" applyProtection="1">
      <protection locked="0"/>
    </xf>
    <xf numFmtId="0" fontId="3" fillId="2" borderId="0" xfId="0" applyFont="1" applyFill="1" applyAlignment="1" applyProtection="1">
      <alignment horizontal="right"/>
      <protection locked="0"/>
    </xf>
    <xf numFmtId="0" fontId="3" fillId="0" borderId="0" xfId="0" applyFont="1" applyFill="1" applyBorder="1" applyAlignment="1" applyProtection="1">
      <alignment horizontal="center"/>
      <protection locked="0"/>
    </xf>
    <xf numFmtId="11" fontId="3" fillId="2" borderId="0" xfId="0" applyNumberFormat="1" applyFont="1" applyFill="1" applyBorder="1" applyAlignment="1" applyProtection="1">
      <alignment horizontal="center"/>
      <protection locked="0"/>
    </xf>
    <xf numFmtId="0" fontId="3" fillId="0" borderId="0" xfId="0" applyNumberFormat="1" applyFont="1" applyFill="1" applyBorder="1" applyAlignment="1" applyProtection="1">
      <alignment horizontal="center"/>
      <protection locked="0"/>
    </xf>
    <xf numFmtId="0" fontId="3" fillId="0" borderId="0" xfId="0" applyFont="1" applyFill="1" applyBorder="1" applyProtection="1">
      <protection locked="0"/>
    </xf>
    <xf numFmtId="0" fontId="4" fillId="4" borderId="1" xfId="0" applyFont="1" applyFill="1" applyBorder="1" applyAlignment="1" applyProtection="1">
      <alignment horizontal="right"/>
      <protection locked="0"/>
    </xf>
    <xf numFmtId="0" fontId="2" fillId="0" borderId="0" xfId="0" applyFont="1" applyFill="1" applyBorder="1" applyProtection="1">
      <protection locked="0"/>
    </xf>
    <xf numFmtId="0" fontId="3" fillId="3" borderId="2" xfId="0" applyFont="1" applyFill="1" applyBorder="1" applyAlignment="1" applyProtection="1">
      <alignment horizontal="right"/>
      <protection locked="0"/>
    </xf>
    <xf numFmtId="1" fontId="3" fillId="3" borderId="2" xfId="0" applyNumberFormat="1" applyFont="1" applyFill="1" applyBorder="1" applyAlignment="1" applyProtection="1">
      <alignment horizontal="center"/>
      <protection locked="0"/>
    </xf>
    <xf numFmtId="0" fontId="3" fillId="2" borderId="2" xfId="0" applyFont="1" applyFill="1" applyBorder="1" applyAlignment="1" applyProtection="1">
      <alignment horizontal="right"/>
      <protection locked="0"/>
    </xf>
    <xf numFmtId="0" fontId="3" fillId="2" borderId="2" xfId="0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Protection="1">
      <protection locked="0"/>
    </xf>
    <xf numFmtId="0" fontId="5" fillId="2" borderId="0" xfId="0" applyFont="1" applyFill="1" applyBorder="1" applyProtection="1">
      <protection locked="0"/>
    </xf>
    <xf numFmtId="0" fontId="6" fillId="2" borderId="0" xfId="1" applyFont="1" applyFill="1" applyBorder="1" applyAlignment="1" applyProtection="1">
      <protection locked="0"/>
    </xf>
    <xf numFmtId="0" fontId="3" fillId="0" borderId="0" xfId="0" applyFont="1" applyFill="1" applyBorder="1" applyAlignment="1" applyProtection="1">
      <alignment horizontal="right"/>
      <protection locked="0"/>
    </xf>
    <xf numFmtId="165" fontId="3" fillId="0" borderId="0" xfId="0" applyNumberFormat="1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horizontal="right"/>
      <protection locked="0"/>
    </xf>
    <xf numFmtId="0" fontId="2" fillId="2" borderId="0" xfId="0" applyFont="1" applyFill="1" applyBorder="1" applyAlignment="1" applyProtection="1">
      <alignment horizontal="center"/>
      <protection locked="0"/>
    </xf>
    <xf numFmtId="0" fontId="3" fillId="2" borderId="0" xfId="0" applyFont="1" applyFill="1" applyBorder="1" applyProtection="1"/>
    <xf numFmtId="0" fontId="3" fillId="2" borderId="0" xfId="0" applyFont="1" applyFill="1" applyBorder="1" applyAlignment="1" applyProtection="1">
      <alignment horizontal="left"/>
    </xf>
    <xf numFmtId="0" fontId="3" fillId="2" borderId="0" xfId="0" applyFont="1" applyFill="1" applyBorder="1" applyAlignment="1" applyProtection="1">
      <alignment horizontal="right"/>
    </xf>
    <xf numFmtId="1" fontId="3" fillId="2" borderId="0" xfId="0" applyNumberFormat="1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center"/>
    </xf>
    <xf numFmtId="2" fontId="3" fillId="2" borderId="0" xfId="0" applyNumberFormat="1" applyFont="1" applyFill="1" applyBorder="1" applyAlignment="1" applyProtection="1">
      <alignment horizontal="center"/>
    </xf>
    <xf numFmtId="0" fontId="3" fillId="2" borderId="1" xfId="0" applyFont="1" applyFill="1" applyBorder="1" applyProtection="1"/>
    <xf numFmtId="0" fontId="3" fillId="2" borderId="1" xfId="0" applyFont="1" applyFill="1" applyBorder="1" applyAlignment="1" applyProtection="1">
      <alignment horizontal="right"/>
    </xf>
    <xf numFmtId="165" fontId="3" fillId="2" borderId="1" xfId="0" applyNumberFormat="1" applyFont="1" applyFill="1" applyBorder="1" applyAlignment="1" applyProtection="1">
      <alignment horizontal="center"/>
    </xf>
    <xf numFmtId="11" fontId="3" fillId="2" borderId="0" xfId="0" applyNumberFormat="1" applyFont="1" applyFill="1" applyBorder="1" applyAlignment="1" applyProtection="1">
      <alignment horizontal="center"/>
    </xf>
    <xf numFmtId="1" fontId="3" fillId="6" borderId="0" xfId="0" applyNumberFormat="1" applyFont="1" applyFill="1" applyBorder="1" applyAlignment="1" applyProtection="1">
      <alignment horizontal="center"/>
    </xf>
    <xf numFmtId="0" fontId="2" fillId="2" borderId="0" xfId="0" applyFont="1" applyFill="1" applyBorder="1" applyProtection="1"/>
    <xf numFmtId="0" fontId="5" fillId="2" borderId="0" xfId="0" applyFont="1" applyFill="1" applyBorder="1" applyProtection="1"/>
    <xf numFmtId="0" fontId="3" fillId="0" borderId="0" xfId="0" applyFont="1" applyFill="1" applyBorder="1" applyAlignment="1" applyProtection="1">
      <alignment horizontal="right"/>
    </xf>
    <xf numFmtId="165" fontId="3" fillId="0" borderId="0" xfId="0" applyNumberFormat="1" applyFont="1" applyFill="1" applyBorder="1" applyAlignment="1" applyProtection="1">
      <alignment horizontal="center"/>
    </xf>
    <xf numFmtId="0" fontId="3" fillId="2" borderId="2" xfId="0" applyFont="1" applyFill="1" applyBorder="1" applyProtection="1"/>
    <xf numFmtId="0" fontId="3" fillId="3" borderId="2" xfId="0" applyFont="1" applyFill="1" applyBorder="1" applyProtection="1"/>
    <xf numFmtId="0" fontId="4" fillId="4" borderId="1" xfId="0" applyFont="1" applyFill="1" applyBorder="1" applyAlignment="1" applyProtection="1">
      <alignment horizontal="left"/>
    </xf>
    <xf numFmtId="0" fontId="3" fillId="3" borderId="2" xfId="0" applyFont="1" applyFill="1" applyBorder="1" applyAlignment="1" applyProtection="1">
      <alignment horizontal="right"/>
    </xf>
    <xf numFmtId="0" fontId="3" fillId="2" borderId="2" xfId="0" applyFont="1" applyFill="1" applyBorder="1" applyAlignment="1" applyProtection="1">
      <alignment horizontal="right"/>
    </xf>
    <xf numFmtId="11" fontId="4" fillId="4" borderId="1" xfId="0" applyNumberFormat="1" applyFont="1" applyFill="1" applyBorder="1" applyAlignment="1" applyProtection="1">
      <alignment horizontal="center"/>
    </xf>
    <xf numFmtId="11" fontId="4" fillId="4" borderId="1" xfId="0" quotePrefix="1" applyNumberFormat="1" applyFont="1" applyFill="1" applyBorder="1" applyAlignment="1" applyProtection="1">
      <alignment horizontal="center"/>
    </xf>
    <xf numFmtId="0" fontId="3" fillId="2" borderId="0" xfId="0" applyNumberFormat="1" applyFont="1" applyFill="1" applyBorder="1" applyAlignment="1" applyProtection="1">
      <alignment horizontal="center"/>
      <protection locked="0"/>
    </xf>
    <xf numFmtId="0" fontId="3" fillId="0" borderId="1" xfId="0" applyFont="1" applyFill="1" applyBorder="1" applyProtection="1">
      <protection locked="0"/>
    </xf>
    <xf numFmtId="164" fontId="3" fillId="2" borderId="0" xfId="0" applyNumberFormat="1" applyFont="1" applyFill="1" applyBorder="1" applyAlignment="1" applyProtection="1">
      <alignment horizontal="center"/>
    </xf>
    <xf numFmtId="2" fontId="3" fillId="0" borderId="0" xfId="0" applyNumberFormat="1" applyFont="1" applyFill="1" applyBorder="1" applyAlignment="1" applyProtection="1">
      <alignment horizontal="center"/>
    </xf>
    <xf numFmtId="165" fontId="3" fillId="2" borderId="0" xfId="0" applyNumberFormat="1" applyFont="1" applyFill="1" applyBorder="1" applyAlignment="1" applyProtection="1">
      <alignment horizontal="center"/>
    </xf>
    <xf numFmtId="0" fontId="3" fillId="2" borderId="0" xfId="0" applyNumberFormat="1" applyFont="1" applyFill="1" applyBorder="1" applyAlignment="1" applyProtection="1">
      <alignment horizontal="center"/>
    </xf>
    <xf numFmtId="0" fontId="4" fillId="4" borderId="1" xfId="0" applyNumberFormat="1" applyFont="1" applyFill="1" applyBorder="1" applyAlignment="1" applyProtection="1">
      <alignment horizontal="center"/>
    </xf>
    <xf numFmtId="2" fontId="3" fillId="6" borderId="0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0" fontId="4" fillId="4" borderId="1" xfId="0" applyFont="1" applyFill="1" applyBorder="1" applyAlignment="1" applyProtection="1">
      <alignment horizontal="right"/>
    </xf>
    <xf numFmtId="0" fontId="3" fillId="5" borderId="1" xfId="0" applyFont="1" applyFill="1" applyBorder="1" applyAlignment="1" applyProtection="1">
      <alignment horizontal="right"/>
      <protection locked="0"/>
    </xf>
    <xf numFmtId="1" fontId="3" fillId="0" borderId="0" xfId="0" applyNumberFormat="1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Protection="1">
      <protection locked="0"/>
    </xf>
    <xf numFmtId="1" fontId="3" fillId="0" borderId="0" xfId="0" applyNumberFormat="1" applyFont="1" applyFill="1" applyBorder="1" applyAlignment="1" applyProtection="1">
      <alignment horizontal="center"/>
    </xf>
    <xf numFmtId="164" fontId="3" fillId="2" borderId="1" xfId="0" applyNumberFormat="1" applyFont="1" applyFill="1" applyBorder="1" applyAlignment="1" applyProtection="1">
      <alignment horizontal="center"/>
    </xf>
    <xf numFmtId="1" fontId="3" fillId="2" borderId="1" xfId="0" applyNumberFormat="1" applyFont="1" applyFill="1" applyBorder="1" applyAlignment="1" applyProtection="1">
      <alignment horizontal="center"/>
    </xf>
    <xf numFmtId="0" fontId="3" fillId="5" borderId="1" xfId="0" applyFont="1" applyFill="1" applyBorder="1" applyAlignment="1" applyProtection="1">
      <alignment horizontal="left"/>
    </xf>
    <xf numFmtId="11" fontId="3" fillId="5" borderId="1" xfId="0" applyNumberFormat="1" applyFont="1" applyFill="1" applyBorder="1" applyAlignment="1" applyProtection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  <xf numFmtId="16" fontId="0" fillId="0" borderId="0" xfId="0" quotePrefix="1" applyNumberFormat="1" applyAlignment="1">
      <alignment horizontal="center"/>
    </xf>
    <xf numFmtId="0" fontId="0" fillId="0" borderId="0" xfId="0" quotePrefix="1" applyAlignment="1">
      <alignment horizontal="center"/>
    </xf>
    <xf numFmtId="0" fontId="3" fillId="2" borderId="0" xfId="0" applyFont="1" applyFill="1" applyAlignment="1" applyProtection="1">
      <alignment horizontal="right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9FF69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29"/>
  <sheetViews>
    <sheetView tabSelected="1" zoomScaleNormal="100" workbookViewId="0">
      <selection activeCell="F16" sqref="F16"/>
    </sheetView>
  </sheetViews>
  <sheetFormatPr defaultColWidth="10.7109375" defaultRowHeight="15.75"/>
  <cols>
    <col min="1" max="1" width="4.28515625" style="6" customWidth="1"/>
    <col min="2" max="2" width="64.7109375" style="6" customWidth="1"/>
    <col min="3" max="3" width="29.85546875" style="25" customWidth="1"/>
    <col min="4" max="4" width="37.42578125" style="26" customWidth="1"/>
    <col min="5" max="7" width="18.7109375" style="26" customWidth="1"/>
    <col min="8" max="9" width="18.140625" style="26" customWidth="1"/>
    <col min="10" max="37" width="10.7109375" style="15"/>
    <col min="38" max="16384" width="10.7109375" style="6"/>
  </cols>
  <sheetData>
    <row r="1" spans="1:10" s="6" customFormat="1">
      <c r="A1" s="3"/>
      <c r="B1" s="3"/>
      <c r="C1" s="4"/>
      <c r="D1" s="5"/>
      <c r="E1" s="5"/>
      <c r="F1" s="5"/>
      <c r="G1" s="5"/>
      <c r="H1" s="5"/>
      <c r="I1" s="5"/>
    </row>
    <row r="2" spans="1:10" s="6" customFormat="1">
      <c r="A2" s="3"/>
      <c r="B2" s="3"/>
      <c r="C2" s="4"/>
      <c r="D2" s="5"/>
      <c r="E2" s="4" t="s">
        <v>24</v>
      </c>
      <c r="F2" s="7" t="s">
        <v>83</v>
      </c>
      <c r="G2" s="3"/>
      <c r="H2" s="5"/>
      <c r="I2" s="5"/>
    </row>
    <row r="3" spans="1:10" s="6" customFormat="1" ht="26.25">
      <c r="A3" s="3"/>
      <c r="B3" s="8" t="s">
        <v>9</v>
      </c>
      <c r="C3" s="4"/>
      <c r="D3" s="5"/>
      <c r="E3" s="5"/>
      <c r="F3" s="9"/>
      <c r="G3" s="9"/>
      <c r="H3" s="9"/>
      <c r="I3" s="9"/>
    </row>
    <row r="4" spans="1:10" s="6" customFormat="1">
      <c r="A4" s="3"/>
      <c r="B4" s="3"/>
      <c r="C4" s="4"/>
      <c r="D4" s="10"/>
      <c r="E4" s="5"/>
      <c r="F4" s="9"/>
      <c r="G4" s="9"/>
      <c r="H4" s="9"/>
      <c r="I4" s="9"/>
    </row>
    <row r="5" spans="1:10" s="6" customFormat="1">
      <c r="A5" s="3"/>
      <c r="B5" s="27" t="s">
        <v>35</v>
      </c>
      <c r="C5" s="29" t="s">
        <v>36</v>
      </c>
      <c r="D5" s="10" t="s">
        <v>82</v>
      </c>
      <c r="E5" s="5"/>
      <c r="F5" s="9"/>
      <c r="G5" s="9"/>
      <c r="H5" s="9"/>
      <c r="I5" s="9"/>
    </row>
    <row r="6" spans="1:10" s="6" customFormat="1">
      <c r="A6" s="3"/>
      <c r="B6" s="27" t="s">
        <v>29</v>
      </c>
      <c r="C6" s="29" t="s">
        <v>7</v>
      </c>
      <c r="D6" s="11">
        <v>9.9999999999999995E-7</v>
      </c>
      <c r="E6" s="5"/>
      <c r="F6" s="5"/>
      <c r="G6" s="5"/>
      <c r="H6" s="5"/>
      <c r="I6" s="5"/>
    </row>
    <row r="7" spans="1:10" s="6" customFormat="1">
      <c r="A7" s="3"/>
      <c r="B7" s="27" t="s">
        <v>30</v>
      </c>
      <c r="C7" s="29" t="s">
        <v>8</v>
      </c>
      <c r="D7" s="12">
        <v>10</v>
      </c>
      <c r="E7" s="5" t="s">
        <v>18</v>
      </c>
      <c r="F7" s="31">
        <f>LOG(D7)</f>
        <v>1</v>
      </c>
      <c r="G7" s="5"/>
      <c r="H7" s="5"/>
      <c r="I7" s="5"/>
    </row>
    <row r="8" spans="1:10" s="6" customFormat="1">
      <c r="A8" s="3"/>
      <c r="B8" s="27" t="s">
        <v>37</v>
      </c>
      <c r="C8" s="29" t="s">
        <v>6</v>
      </c>
      <c r="D8" s="11">
        <v>1E-4</v>
      </c>
      <c r="E8" s="5"/>
      <c r="F8" s="5"/>
      <c r="G8" s="5"/>
      <c r="H8" s="5"/>
      <c r="I8" s="5"/>
    </row>
    <row r="9" spans="1:10" s="15" customFormat="1">
      <c r="A9" s="13"/>
      <c r="B9" s="44" t="s">
        <v>2</v>
      </c>
      <c r="C9" s="14"/>
      <c r="D9" s="47">
        <f>D6</f>
        <v>9.9999999999999995E-7</v>
      </c>
      <c r="E9" s="47">
        <f>D9/D7</f>
        <v>9.9999999999999995E-8</v>
      </c>
      <c r="F9" s="47">
        <f>E9/D7</f>
        <v>1E-8</v>
      </c>
      <c r="G9" s="47">
        <f>F9/D7</f>
        <v>1.0000000000000001E-9</v>
      </c>
      <c r="H9" s="47">
        <f>G9/D7</f>
        <v>1E-10</v>
      </c>
      <c r="I9" s="47">
        <f>H9/D7</f>
        <v>1.0000000000000001E-11</v>
      </c>
      <c r="J9" s="48">
        <f>I9/10</f>
        <v>1.0000000000000002E-12</v>
      </c>
    </row>
    <row r="10" spans="1:10" s="6" customFormat="1">
      <c r="A10" s="3"/>
      <c r="B10" s="43" t="s">
        <v>38</v>
      </c>
      <c r="C10" s="45" t="s">
        <v>12</v>
      </c>
      <c r="D10" s="17">
        <v>11</v>
      </c>
      <c r="E10" s="17">
        <v>11</v>
      </c>
      <c r="F10" s="17">
        <v>11</v>
      </c>
      <c r="G10" s="17">
        <v>11</v>
      </c>
      <c r="H10" s="17">
        <v>11</v>
      </c>
      <c r="I10" s="17">
        <v>11</v>
      </c>
      <c r="J10" s="17"/>
    </row>
    <row r="11" spans="1:10" s="6" customFormat="1">
      <c r="A11" s="3"/>
      <c r="B11" s="42" t="s">
        <v>39</v>
      </c>
      <c r="C11" s="46" t="s">
        <v>11</v>
      </c>
      <c r="D11" s="19">
        <v>11</v>
      </c>
      <c r="E11" s="19">
        <v>10</v>
      </c>
      <c r="F11" s="19">
        <v>6</v>
      </c>
      <c r="G11" s="19">
        <v>5</v>
      </c>
      <c r="H11" s="19">
        <v>3</v>
      </c>
      <c r="I11" s="19">
        <v>2</v>
      </c>
      <c r="J11" s="19"/>
    </row>
    <row r="12" spans="1:10" s="6" customFormat="1">
      <c r="A12" s="27"/>
      <c r="B12" s="28" t="s">
        <v>3</v>
      </c>
      <c r="C12" s="29" t="s">
        <v>10</v>
      </c>
      <c r="D12" s="30">
        <f>D10-D11</f>
        <v>0</v>
      </c>
      <c r="E12" s="30">
        <f t="shared" ref="E12:J12" si="0">E10-E11</f>
        <v>1</v>
      </c>
      <c r="F12" s="30">
        <f t="shared" si="0"/>
        <v>5</v>
      </c>
      <c r="G12" s="30">
        <f t="shared" si="0"/>
        <v>6</v>
      </c>
      <c r="H12" s="30">
        <f t="shared" si="0"/>
        <v>8</v>
      </c>
      <c r="I12" s="30">
        <f t="shared" si="0"/>
        <v>9</v>
      </c>
      <c r="J12" s="30">
        <f t="shared" si="0"/>
        <v>0</v>
      </c>
    </row>
    <row r="13" spans="1:10" s="6" customFormat="1">
      <c r="A13" s="27"/>
      <c r="B13" s="27"/>
      <c r="C13" s="29" t="s">
        <v>22</v>
      </c>
      <c r="D13" s="31">
        <f>D11+E11+F11+G11+H11+I11+J11</f>
        <v>37</v>
      </c>
      <c r="E13" s="31">
        <f>E11+F11+G11+H11+I11+J11</f>
        <v>26</v>
      </c>
      <c r="F13" s="31">
        <f>F11+G11+H11+I11+J11</f>
        <v>16</v>
      </c>
      <c r="G13" s="31">
        <f>G11+H11+I11+J11</f>
        <v>10</v>
      </c>
      <c r="H13" s="31">
        <f>H11+I11+J11</f>
        <v>5</v>
      </c>
      <c r="I13" s="31">
        <f>I11+J11</f>
        <v>2</v>
      </c>
      <c r="J13" s="31">
        <f>J11</f>
        <v>0</v>
      </c>
    </row>
    <row r="14" spans="1:10" s="6" customFormat="1">
      <c r="A14" s="27"/>
      <c r="B14" s="27"/>
      <c r="C14" s="29" t="s">
        <v>23</v>
      </c>
      <c r="D14" s="30">
        <f>D12</f>
        <v>0</v>
      </c>
      <c r="E14" s="30">
        <f>D12+E12</f>
        <v>1</v>
      </c>
      <c r="F14" s="30">
        <f>D12+E12+F12</f>
        <v>6</v>
      </c>
      <c r="G14" s="30">
        <f>D12+E12+F12+G12</f>
        <v>12</v>
      </c>
      <c r="H14" s="30">
        <f>D12+E12+F12+G12+H12</f>
        <v>20</v>
      </c>
      <c r="I14" s="30">
        <f>D12+E12+F12+G12+H12+I12</f>
        <v>29</v>
      </c>
      <c r="J14" s="30">
        <f>D12+E12+F12+G12+H12+I12+J12</f>
        <v>29</v>
      </c>
    </row>
    <row r="15" spans="1:10" s="6" customFormat="1">
      <c r="A15" s="27"/>
      <c r="B15" s="27"/>
      <c r="C15" s="29" t="s">
        <v>0</v>
      </c>
      <c r="D15" s="32">
        <f>100*D13/(D13+D14)</f>
        <v>100</v>
      </c>
      <c r="E15" s="32">
        <f t="shared" ref="E15:I15" si="1">100*E13/(E13+E14)</f>
        <v>96.296296296296291</v>
      </c>
      <c r="F15" s="32">
        <f t="shared" si="1"/>
        <v>72.727272727272734</v>
      </c>
      <c r="G15" s="32">
        <f t="shared" si="1"/>
        <v>45.454545454545453</v>
      </c>
      <c r="H15" s="32">
        <f t="shared" si="1"/>
        <v>20</v>
      </c>
      <c r="I15" s="32">
        <f t="shared" si="1"/>
        <v>6.4516129032258061</v>
      </c>
      <c r="J15" s="32">
        <f t="shared" ref="J15" si="2">100*J13/(J13+J14)</f>
        <v>0</v>
      </c>
    </row>
    <row r="16" spans="1:10" s="6" customFormat="1">
      <c r="A16" s="27"/>
      <c r="B16" s="33"/>
      <c r="C16" s="34" t="s">
        <v>1</v>
      </c>
      <c r="D16" s="35">
        <f>IF(D15=100,IF(E15&lt;51,(D15-50)/(D15-E15),0),IF(D15=0,0,IF(E15&lt;51,(D15-50)/(D15-E15),0)))</f>
        <v>0</v>
      </c>
      <c r="E16" s="35">
        <f t="shared" ref="E16:J16" si="3">IF(E15=100,IF(F15&lt;51,(E15-50)/(E15-F15),0),IF(E15=0,0,IF(F15&lt;51,(E15-50)/(E15-F15),0)))</f>
        <v>0</v>
      </c>
      <c r="F16" s="35">
        <f>IF(F15=100,IF(G15&lt;51,(F15-50)/(F15-G15),0),IF(F15=0,0,IF(G15&lt;51,(F15-50)/(F15-G15),0)))</f>
        <v>0.83333333333333337</v>
      </c>
      <c r="G16" s="35">
        <f t="shared" si="3"/>
        <v>-0.17857142857142863</v>
      </c>
      <c r="H16" s="35">
        <f>IF(H15=100,IF(I15&lt;51,(H15-50)/(H15-I15),0),IF(H15=0,0,IF(I15&lt;51,(H15-50)/(H15-I15),0)))</f>
        <v>-2.2142857142857144</v>
      </c>
      <c r="I16" s="35">
        <f t="shared" si="3"/>
        <v>-6.75</v>
      </c>
      <c r="J16" s="35">
        <f t="shared" si="3"/>
        <v>0</v>
      </c>
    </row>
    <row r="17" spans="1:10" s="6" customFormat="1">
      <c r="A17" s="27"/>
      <c r="B17" s="27" t="s">
        <v>40</v>
      </c>
      <c r="C17" s="29" t="s">
        <v>5</v>
      </c>
      <c r="D17" s="36" t="str">
        <f>IF(D16&gt;0,10^(D16)*1/D9," ")</f>
        <v xml:space="preserve"> </v>
      </c>
      <c r="E17" s="36" t="str">
        <f>IF(E16&gt;0,10^(E16)*1/E9," ")</f>
        <v xml:space="preserve"> </v>
      </c>
      <c r="F17" s="36">
        <f>IF(F16&gt;0,(10^F16)*1/F9," ")</f>
        <v>681292069.05796134</v>
      </c>
      <c r="G17" s="36" t="str">
        <f t="shared" ref="G17:J17" si="4">IF(G16&gt;0,(10^G16)*1/G9," ")</f>
        <v xml:space="preserve"> </v>
      </c>
      <c r="H17" s="36" t="str">
        <f t="shared" si="4"/>
        <v xml:space="preserve"> </v>
      </c>
      <c r="I17" s="36" t="str">
        <f t="shared" si="4"/>
        <v xml:space="preserve"> </v>
      </c>
      <c r="J17" s="36" t="str">
        <f t="shared" si="4"/>
        <v xml:space="preserve"> </v>
      </c>
    </row>
    <row r="18" spans="1:10" s="6" customFormat="1">
      <c r="A18" s="27"/>
      <c r="B18" s="27" t="s">
        <v>41</v>
      </c>
      <c r="C18" s="29" t="s">
        <v>46</v>
      </c>
      <c r="D18" s="36" t="str">
        <f>IF(D16&gt;0,D17/(1/$D$8)," ")</f>
        <v xml:space="preserve"> </v>
      </c>
      <c r="E18" s="36" t="str">
        <f t="shared" ref="E18:J18" si="5">IF(E16&gt;0,E17/(1/$D$8)," ")</f>
        <v xml:space="preserve"> </v>
      </c>
      <c r="F18" s="36">
        <f t="shared" si="5"/>
        <v>68129.206905796134</v>
      </c>
      <c r="G18" s="36" t="str">
        <f t="shared" si="5"/>
        <v xml:space="preserve"> </v>
      </c>
      <c r="H18" s="36" t="str">
        <f t="shared" si="5"/>
        <v xml:space="preserve"> </v>
      </c>
      <c r="I18" s="36" t="str">
        <f t="shared" si="5"/>
        <v xml:space="preserve"> </v>
      </c>
      <c r="J18" s="36" t="str">
        <f t="shared" si="5"/>
        <v xml:space="preserve"> </v>
      </c>
    </row>
    <row r="19" spans="1:10" s="6" customFormat="1">
      <c r="A19" s="27"/>
      <c r="B19" s="27"/>
      <c r="C19" s="29" t="s">
        <v>48</v>
      </c>
      <c r="D19" s="37" t="str">
        <f>IF(D16&gt;0,D17/(1/D8)," ")</f>
        <v xml:space="preserve"> </v>
      </c>
      <c r="E19" s="37" t="str">
        <f>IF(E16&gt;0,E17/(1/D8)," ")</f>
        <v xml:space="preserve"> </v>
      </c>
      <c r="F19" s="37">
        <f>IF(F16&gt;0,F17/(1/D8)," ")</f>
        <v>68129.206905796134</v>
      </c>
      <c r="G19" s="37" t="str">
        <f>IF(G16&gt;0,G17/(1/D8)," ")</f>
        <v xml:space="preserve"> </v>
      </c>
      <c r="H19" s="37" t="str">
        <f>IF(H16&gt;0,H17/(1/D8)," ")</f>
        <v xml:space="preserve"> </v>
      </c>
      <c r="I19" s="37"/>
      <c r="J19" s="38"/>
    </row>
    <row r="20" spans="1:10" s="6" customFormat="1">
      <c r="A20" s="27"/>
      <c r="B20" s="39"/>
      <c r="C20" s="29"/>
      <c r="D20" s="31"/>
      <c r="E20" s="31"/>
      <c r="F20" s="31"/>
      <c r="G20" s="31"/>
      <c r="H20" s="31"/>
      <c r="I20" s="31"/>
      <c r="J20" s="38"/>
    </row>
    <row r="21" spans="1:10" s="6" customFormat="1">
      <c r="A21" s="27"/>
      <c r="B21" s="1"/>
      <c r="C21" s="29"/>
      <c r="D21" s="31"/>
      <c r="E21" s="31"/>
      <c r="F21" s="31"/>
      <c r="G21" s="31"/>
      <c r="H21" s="31"/>
      <c r="I21" s="31"/>
      <c r="J21" s="38"/>
    </row>
    <row r="22" spans="1:10" s="6" customFormat="1">
      <c r="A22" s="27"/>
      <c r="B22" s="27"/>
      <c r="C22" s="29"/>
      <c r="D22" s="31"/>
      <c r="E22" s="31"/>
      <c r="F22" s="31"/>
      <c r="G22" s="31"/>
      <c r="H22" s="31"/>
      <c r="I22" s="31"/>
      <c r="J22" s="38"/>
    </row>
    <row r="23" spans="1:10" s="6" customFormat="1">
      <c r="A23" s="27"/>
      <c r="B23" s="27" t="s">
        <v>42</v>
      </c>
      <c r="C23" s="40" t="s">
        <v>17</v>
      </c>
      <c r="D23" s="41" t="str">
        <f>IF(D16&gt;0,LOG(D7)*D16," ")</f>
        <v xml:space="preserve"> </v>
      </c>
      <c r="E23" s="41" t="str">
        <f>IF(E16&gt;0,LOG(D7)*E16," ")</f>
        <v xml:space="preserve"> </v>
      </c>
      <c r="F23" s="41">
        <f>IF(F16&gt;0,LOG(D7)*F16," ")</f>
        <v>0.83333333333333337</v>
      </c>
      <c r="G23" s="41" t="str">
        <f>IF(G16&gt;0,LOG(D7)*G16," ")</f>
        <v xml:space="preserve"> </v>
      </c>
      <c r="H23" s="41" t="str">
        <f>IF(H16&gt;0,LOG(D7)*H16," ")</f>
        <v xml:space="preserve"> </v>
      </c>
      <c r="I23" s="41" t="str">
        <f>IF(I16&gt;0,LOG(D7)*I16," ")</f>
        <v xml:space="preserve"> </v>
      </c>
      <c r="J23" s="38"/>
    </row>
    <row r="24" spans="1:10" s="6" customFormat="1">
      <c r="A24" s="27"/>
      <c r="B24" s="27"/>
      <c r="C24" s="40" t="s">
        <v>33</v>
      </c>
      <c r="D24" s="41" t="str">
        <f t="shared" ref="D24:I24" si="6">IF(D16&gt;0,10^(D23)," ")</f>
        <v xml:space="preserve"> </v>
      </c>
      <c r="E24" s="41" t="str">
        <f t="shared" si="6"/>
        <v xml:space="preserve"> </v>
      </c>
      <c r="F24" s="41">
        <f t="shared" si="6"/>
        <v>6.812920690579614</v>
      </c>
      <c r="G24" s="41" t="str">
        <f t="shared" si="6"/>
        <v xml:space="preserve"> </v>
      </c>
      <c r="H24" s="41" t="str">
        <f t="shared" si="6"/>
        <v xml:space="preserve"> </v>
      </c>
      <c r="I24" s="41" t="str">
        <f t="shared" si="6"/>
        <v xml:space="preserve"> </v>
      </c>
      <c r="J24" s="38"/>
    </row>
    <row r="25" spans="1:10" s="6" customFormat="1">
      <c r="A25" s="27"/>
      <c r="B25" s="27"/>
      <c r="C25" s="29"/>
      <c r="D25" s="31"/>
      <c r="E25" s="31"/>
      <c r="F25" s="31"/>
      <c r="G25" s="31"/>
      <c r="H25" s="31"/>
      <c r="I25" s="31"/>
      <c r="J25" s="38"/>
    </row>
    <row r="26" spans="1:10" s="6" customFormat="1">
      <c r="A26" s="27"/>
      <c r="B26" s="27"/>
      <c r="C26" s="29"/>
      <c r="D26" s="36"/>
      <c r="E26" s="31"/>
      <c r="F26" s="31"/>
      <c r="G26" s="31"/>
      <c r="H26" s="31"/>
      <c r="I26" s="31"/>
      <c r="J26" s="38"/>
    </row>
    <row r="27" spans="1:10" s="6" customFormat="1">
      <c r="A27" s="27"/>
      <c r="B27" s="27"/>
      <c r="C27" s="29" t="s">
        <v>43</v>
      </c>
      <c r="D27" s="36"/>
      <c r="E27" s="31"/>
      <c r="F27" s="31"/>
      <c r="G27" s="31"/>
      <c r="H27" s="31"/>
      <c r="I27" s="31"/>
      <c r="J27" s="38"/>
    </row>
    <row r="28" spans="1:10" s="6" customFormat="1">
      <c r="A28" s="27"/>
      <c r="B28" s="27"/>
      <c r="C28" s="29"/>
      <c r="D28" s="31"/>
      <c r="E28" s="31"/>
      <c r="F28" s="31"/>
      <c r="G28" s="31"/>
      <c r="H28" s="31"/>
      <c r="I28" s="31"/>
      <c r="J28" s="38"/>
    </row>
    <row r="29" spans="1:10" s="6" customFormat="1">
      <c r="A29" s="27"/>
      <c r="B29" s="27"/>
      <c r="C29" s="29"/>
      <c r="D29" s="31"/>
      <c r="E29" s="31"/>
      <c r="F29" s="31"/>
      <c r="G29" s="31"/>
      <c r="H29" s="31"/>
      <c r="I29" s="31"/>
      <c r="J29" s="38"/>
    </row>
  </sheetData>
  <sheetProtection password="8E1E" sheet="1" objects="1" scenarios="1"/>
  <pageMargins left="0.75" right="0.75" top="1" bottom="1" header="0.5" footer="0.5"/>
  <pageSetup scale="6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K30"/>
  <sheetViews>
    <sheetView zoomScaleNormal="100" workbookViewId="0">
      <selection activeCell="D11" sqref="D11"/>
    </sheetView>
  </sheetViews>
  <sheetFormatPr defaultColWidth="10.7109375" defaultRowHeight="15.75"/>
  <cols>
    <col min="1" max="1" width="4.28515625" style="3" customWidth="1"/>
    <col min="2" max="2" width="70" style="3" bestFit="1" customWidth="1"/>
    <col min="3" max="3" width="23.7109375" style="4" customWidth="1"/>
    <col min="4" max="9" width="19" style="5" customWidth="1"/>
    <col min="10" max="37" width="10.7109375" style="13"/>
    <col min="38" max="16384" width="10.7109375" style="3"/>
  </cols>
  <sheetData>
    <row r="2" spans="1:37">
      <c r="E2" s="4" t="s">
        <v>24</v>
      </c>
      <c r="F2" s="28" t="str">
        <f>'LD50'!F2</f>
        <v>827-2251</v>
      </c>
      <c r="G2" s="3"/>
    </row>
    <row r="3" spans="1:37" ht="26.25">
      <c r="B3" s="8" t="s">
        <v>13</v>
      </c>
      <c r="F3" s="72"/>
      <c r="G3" s="72"/>
      <c r="H3" s="72"/>
      <c r="I3" s="72"/>
    </row>
    <row r="4" spans="1:37">
      <c r="D4" s="10"/>
      <c r="F4" s="72"/>
      <c r="G4" s="72"/>
      <c r="H4" s="72"/>
      <c r="I4" s="72"/>
    </row>
    <row r="5" spans="1:37">
      <c r="B5" s="27" t="s">
        <v>34</v>
      </c>
      <c r="C5" s="4" t="s">
        <v>28</v>
      </c>
      <c r="D5" s="10" t="s">
        <v>84</v>
      </c>
      <c r="F5" s="9"/>
      <c r="G5" s="9"/>
      <c r="H5" s="9"/>
      <c r="I5" s="9"/>
    </row>
    <row r="6" spans="1:37">
      <c r="B6" s="27" t="s">
        <v>29</v>
      </c>
      <c r="C6" s="4" t="s">
        <v>7</v>
      </c>
      <c r="D6" s="49">
        <v>1</v>
      </c>
    </row>
    <row r="7" spans="1:37">
      <c r="B7" s="27" t="s">
        <v>30</v>
      </c>
      <c r="C7" s="4" t="s">
        <v>8</v>
      </c>
      <c r="D7" s="12">
        <v>5</v>
      </c>
      <c r="E7" s="5" t="s">
        <v>16</v>
      </c>
      <c r="F7" s="53">
        <f>LOG(D7)</f>
        <v>0.69897000433601886</v>
      </c>
    </row>
    <row r="8" spans="1:37" s="13" customFormat="1">
      <c r="B8" s="44" t="s">
        <v>2</v>
      </c>
      <c r="C8" s="14"/>
      <c r="D8" s="55">
        <f>D6</f>
        <v>1</v>
      </c>
      <c r="E8" s="55">
        <f>D8*D7</f>
        <v>5</v>
      </c>
      <c r="F8" s="55">
        <f>E8*D7</f>
        <v>25</v>
      </c>
      <c r="G8" s="55">
        <f>F8*D7</f>
        <v>125</v>
      </c>
      <c r="H8" s="55">
        <f>G8*D7</f>
        <v>625</v>
      </c>
      <c r="I8" s="55">
        <f>H8*D7</f>
        <v>3125</v>
      </c>
    </row>
    <row r="9" spans="1:37">
      <c r="B9" s="43" t="s">
        <v>4</v>
      </c>
      <c r="C9" s="16" t="s">
        <v>12</v>
      </c>
      <c r="D9" s="17">
        <v>25</v>
      </c>
      <c r="E9" s="17">
        <v>24</v>
      </c>
      <c r="F9" s="17">
        <v>23</v>
      </c>
      <c r="G9" s="17"/>
      <c r="H9" s="17"/>
      <c r="I9" s="17"/>
    </row>
    <row r="10" spans="1:37">
      <c r="B10" s="42" t="s">
        <v>19</v>
      </c>
      <c r="C10" s="18" t="s">
        <v>10</v>
      </c>
      <c r="D10" s="19">
        <v>16</v>
      </c>
      <c r="E10" s="19">
        <v>12</v>
      </c>
      <c r="F10" s="19">
        <v>8</v>
      </c>
      <c r="G10" s="19"/>
      <c r="H10" s="19"/>
      <c r="I10" s="19"/>
    </row>
    <row r="11" spans="1:37">
      <c r="A11" s="27"/>
      <c r="B11" s="28" t="s">
        <v>3</v>
      </c>
      <c r="C11" s="29" t="s">
        <v>11</v>
      </c>
      <c r="D11" s="30">
        <f t="shared" ref="D11:I11" si="0">D9-D10</f>
        <v>9</v>
      </c>
      <c r="E11" s="30">
        <f t="shared" si="0"/>
        <v>12</v>
      </c>
      <c r="F11" s="30">
        <f t="shared" si="0"/>
        <v>15</v>
      </c>
      <c r="G11" s="30">
        <f t="shared" si="0"/>
        <v>0</v>
      </c>
      <c r="H11" s="30">
        <f t="shared" si="0"/>
        <v>0</v>
      </c>
      <c r="I11" s="30">
        <f t="shared" si="0"/>
        <v>0</v>
      </c>
    </row>
    <row r="12" spans="1:37">
      <c r="A12" s="27"/>
      <c r="B12" s="27"/>
      <c r="C12" s="29" t="s">
        <v>25</v>
      </c>
      <c r="D12" s="31">
        <f>D10+E10+F10+G10+H10+I10</f>
        <v>36</v>
      </c>
      <c r="E12" s="31">
        <f>E10+F10+G10+H10+I10</f>
        <v>20</v>
      </c>
      <c r="F12" s="31">
        <f>F10+G10+H10+I10</f>
        <v>8</v>
      </c>
      <c r="G12" s="31">
        <f>G10+H10+I10</f>
        <v>0</v>
      </c>
      <c r="H12" s="31">
        <f>H10+I10</f>
        <v>0</v>
      </c>
      <c r="I12" s="31">
        <f>I10</f>
        <v>0</v>
      </c>
    </row>
    <row r="13" spans="1:37">
      <c r="A13" s="27"/>
      <c r="B13" s="27"/>
      <c r="C13" s="29" t="s">
        <v>26</v>
      </c>
      <c r="D13" s="30">
        <f>D11</f>
        <v>9</v>
      </c>
      <c r="E13" s="30">
        <f>D11+E11</f>
        <v>21</v>
      </c>
      <c r="F13" s="30">
        <f>D11+E11+F11</f>
        <v>36</v>
      </c>
      <c r="G13" s="30">
        <f>D11+E11+F11+G11</f>
        <v>36</v>
      </c>
      <c r="H13" s="30">
        <f>D11+E11+F11+G11+H11</f>
        <v>36</v>
      </c>
      <c r="I13" s="30">
        <f>D11+E11+F11+G11+H11+I11</f>
        <v>36</v>
      </c>
    </row>
    <row r="14" spans="1:37">
      <c r="A14" s="27"/>
      <c r="B14" s="27"/>
      <c r="C14" s="29" t="s">
        <v>20</v>
      </c>
      <c r="D14" s="51">
        <f t="shared" ref="D14:I14" si="1">100*D12/(D12+D13)</f>
        <v>80</v>
      </c>
      <c r="E14" s="32">
        <f t="shared" si="1"/>
        <v>48.780487804878049</v>
      </c>
      <c r="F14" s="32">
        <f t="shared" si="1"/>
        <v>18.181818181818183</v>
      </c>
      <c r="G14" s="32">
        <f t="shared" si="1"/>
        <v>0</v>
      </c>
      <c r="H14" s="32">
        <f t="shared" si="1"/>
        <v>0</v>
      </c>
      <c r="I14" s="32">
        <f t="shared" si="1"/>
        <v>0</v>
      </c>
    </row>
    <row r="15" spans="1:37" s="20" customFormat="1">
      <c r="A15" s="33"/>
      <c r="B15" s="33"/>
      <c r="C15" s="34" t="s">
        <v>1</v>
      </c>
      <c r="D15" s="35">
        <f>IF(D14=100,IF(E14&lt;51,(D14-50)/(D14-E14),0),IF(D14=0,0,IF(E14&lt;51,(D14-50)/(D14-E14),0)))</f>
        <v>0.9609375</v>
      </c>
      <c r="E15" s="35">
        <f t="shared" ref="E15:I15" si="2">IF(E14=100,IF(F14&lt;51,(E14-50)/(E14-F14),0),IF(E14=0,0,IF(F14&lt;51,(E14-50)/(E14-F14),0)))</f>
        <v>-3.9855072463768092E-2</v>
      </c>
      <c r="F15" s="35">
        <f t="shared" si="2"/>
        <v>-1.7499999999999998</v>
      </c>
      <c r="G15" s="35">
        <f t="shared" si="2"/>
        <v>0</v>
      </c>
      <c r="H15" s="35">
        <f t="shared" si="2"/>
        <v>0</v>
      </c>
      <c r="I15" s="35">
        <f t="shared" si="2"/>
        <v>0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</row>
    <row r="16" spans="1:37">
      <c r="A16" s="27"/>
      <c r="B16" s="27" t="s">
        <v>14</v>
      </c>
      <c r="C16" s="29" t="s">
        <v>47</v>
      </c>
      <c r="D16" s="32">
        <f>IF(D15&gt;0,IF(E14&lt;51,IF(E9&gt;0,10^(LOG(D7)*D15)*D8," ")," ")," ")</f>
        <v>4.6953339734225095</v>
      </c>
      <c r="E16" s="52" t="str">
        <f>IF(E15&gt;0,IF(F14&lt;51,IF(F9&gt;0,10^(LOG(D7)*E15)*E8," ")," ")," ")</f>
        <v xml:space="preserve"> </v>
      </c>
      <c r="F16" s="32" t="str">
        <f>IF(F15&gt;0,IF(G14&lt;51,IF(G9&gt;0,10^(LOG(D7)*F15)*F8," ")," ")," ")</f>
        <v xml:space="preserve"> </v>
      </c>
      <c r="G16" s="32" t="str">
        <f>IF(G15&gt;0,IF(H14&lt;51,IF(H9&gt;0,10^(LOG(D7)*G15)*G8," ")," ")," ")</f>
        <v xml:space="preserve"> </v>
      </c>
      <c r="H16" s="32" t="str">
        <f>IF(H15&gt;0,IF(G14&lt;51,IF(G9&gt;0,10^(LOG(D7)*H15)*H8," ")," ")," ")</f>
        <v xml:space="preserve"> </v>
      </c>
      <c r="I16" s="32"/>
    </row>
    <row r="17" spans="1:9">
      <c r="A17" s="27"/>
      <c r="B17" s="27"/>
      <c r="C17" s="29"/>
      <c r="D17" s="32"/>
      <c r="E17" s="32"/>
      <c r="F17" s="32"/>
      <c r="G17" s="32"/>
      <c r="H17" s="32"/>
      <c r="I17" s="32"/>
    </row>
    <row r="18" spans="1:9">
      <c r="A18" s="27"/>
      <c r="B18" s="27"/>
      <c r="C18" s="29"/>
      <c r="D18" s="31"/>
      <c r="E18" s="31"/>
      <c r="F18" s="53"/>
      <c r="G18" s="31"/>
      <c r="H18" s="31"/>
      <c r="I18" s="31"/>
    </row>
    <row r="19" spans="1:9">
      <c r="A19" s="27"/>
      <c r="B19" s="39"/>
      <c r="C19" s="29"/>
      <c r="D19" s="31"/>
      <c r="E19" s="31"/>
      <c r="F19" s="31"/>
      <c r="G19" s="31"/>
      <c r="H19" s="31"/>
      <c r="I19" s="31"/>
    </row>
    <row r="20" spans="1:9">
      <c r="A20" s="27"/>
      <c r="B20" s="1"/>
      <c r="C20" s="29"/>
      <c r="D20" s="31"/>
      <c r="E20" s="31"/>
      <c r="F20" s="31"/>
      <c r="G20" s="31"/>
      <c r="H20" s="31"/>
      <c r="I20" s="31"/>
    </row>
    <row r="21" spans="1:9">
      <c r="A21" s="27"/>
      <c r="B21" s="27" t="s">
        <v>44</v>
      </c>
      <c r="C21" s="40" t="s">
        <v>17</v>
      </c>
      <c r="D21" s="41">
        <f>IF(D15&gt;0,IF(E14&lt;51,IF(E9&gt;0,LOG(D7)*D15," ")," ")," ")</f>
        <v>0.67166648854164313</v>
      </c>
      <c r="E21" s="41" t="str">
        <f>IF(E15&gt;0,IF(F14&lt;51,IF(F9&gt;0,LOG(D7)*E15," ")," ")," ")</f>
        <v xml:space="preserve"> </v>
      </c>
      <c r="F21" s="41" t="str">
        <f>IF(F15&gt;0,IF(G14&lt;51,IF(G9&gt;0,LOG(D7)*F15," ")," ")," ")</f>
        <v xml:space="preserve"> </v>
      </c>
      <c r="G21" s="41" t="str">
        <f>IF(G15&gt;0,IF(H14&lt;51,IF(H9&gt;0,LOG(D7)*G15," ")," ")," ")</f>
        <v xml:space="preserve"> </v>
      </c>
      <c r="H21" s="41" t="str">
        <f>IF(H15&gt;0,IF(I14&lt;51,IF(I9&gt;0,LOG(D7)*H15," ")," ")," ")</f>
        <v xml:space="preserve"> </v>
      </c>
      <c r="I21" s="41"/>
    </row>
    <row r="22" spans="1:9">
      <c r="A22" s="27"/>
      <c r="B22" s="27"/>
      <c r="C22" s="40" t="s">
        <v>33</v>
      </c>
      <c r="D22" s="41">
        <f>IF(D15&gt;0,IF(E14&lt;51,IF(E9&gt;0,10^(D21)," ")," ")," ")</f>
        <v>4.6953339734225095</v>
      </c>
      <c r="E22" s="41" t="str">
        <f>IF(E15&gt;0,IF(F14&lt;51,IF(F9&gt;0,10^(E21)," ")," ")," ")</f>
        <v xml:space="preserve"> </v>
      </c>
      <c r="F22" s="41" t="str">
        <f>IF(F15&gt;0,IF(G14&lt;51,IF(G9&gt;0,10^(F21)," ")," ")," ")</f>
        <v xml:space="preserve"> </v>
      </c>
      <c r="G22" s="41" t="str">
        <f>IF(G15&gt;0,IF(H14&lt;51,IF(H9&gt;0,10^(G21)," ")," ")," ")</f>
        <v xml:space="preserve"> </v>
      </c>
      <c r="H22" s="41" t="str">
        <f>IF(H15&gt;0,IF(I14&lt;51,IF(I9&gt;0,10^(H21)," ")," ")," ")</f>
        <v xml:space="preserve"> </v>
      </c>
      <c r="I22" s="41"/>
    </row>
    <row r="23" spans="1:9">
      <c r="A23" s="27"/>
      <c r="B23" s="27"/>
      <c r="C23" s="29"/>
      <c r="D23" s="31"/>
      <c r="E23" s="31"/>
      <c r="F23" s="31"/>
      <c r="G23" s="31"/>
      <c r="H23" s="31"/>
      <c r="I23" s="31"/>
    </row>
    <row r="24" spans="1:9">
      <c r="A24" s="27"/>
      <c r="B24" s="27"/>
      <c r="C24" s="29"/>
      <c r="D24" s="31"/>
      <c r="E24" s="31"/>
      <c r="F24" s="31"/>
      <c r="G24" s="31"/>
      <c r="H24" s="31"/>
      <c r="I24" s="31"/>
    </row>
    <row r="25" spans="1:9">
      <c r="A25" s="27"/>
      <c r="B25" s="27"/>
      <c r="C25" s="29" t="s">
        <v>45</v>
      </c>
      <c r="D25" s="36"/>
      <c r="E25" s="31"/>
      <c r="F25" s="31"/>
      <c r="G25" s="31"/>
      <c r="H25" s="31"/>
      <c r="I25" s="31"/>
    </row>
    <row r="26" spans="1:9">
      <c r="A26" s="27"/>
      <c r="B26" s="27"/>
      <c r="C26" s="29"/>
      <c r="D26" s="54"/>
      <c r="E26" s="31"/>
      <c r="F26" s="31"/>
      <c r="G26" s="31"/>
      <c r="H26" s="31"/>
      <c r="I26" s="31"/>
    </row>
    <row r="27" spans="1:9">
      <c r="A27" s="27"/>
      <c r="B27" s="27"/>
      <c r="C27" s="29"/>
      <c r="D27" s="31"/>
      <c r="E27" s="31"/>
      <c r="F27" s="31"/>
      <c r="G27" s="31"/>
      <c r="H27" s="31"/>
      <c r="I27" s="31"/>
    </row>
    <row r="28" spans="1:9">
      <c r="A28" s="27"/>
      <c r="B28" s="27"/>
      <c r="C28" s="29"/>
      <c r="D28" s="31"/>
      <c r="E28" s="31"/>
      <c r="F28" s="31"/>
      <c r="G28" s="31"/>
      <c r="H28" s="31"/>
      <c r="I28" s="31"/>
    </row>
    <row r="29" spans="1:9">
      <c r="A29" s="27"/>
      <c r="B29" s="27"/>
      <c r="C29" s="29"/>
      <c r="D29" s="31"/>
      <c r="E29" s="31"/>
      <c r="F29" s="31"/>
      <c r="G29" s="31"/>
      <c r="H29" s="31"/>
      <c r="I29" s="31"/>
    </row>
    <row r="30" spans="1:9">
      <c r="A30" s="27"/>
      <c r="B30" s="27"/>
      <c r="C30" s="29"/>
      <c r="D30" s="31"/>
      <c r="E30" s="31"/>
      <c r="F30" s="31"/>
      <c r="G30" s="31"/>
      <c r="H30" s="31"/>
      <c r="I30" s="31"/>
    </row>
  </sheetData>
  <sheetProtection password="8E1E" sheet="1" objects="1" scenarios="1"/>
  <mergeCells count="2">
    <mergeCell ref="F3:I3"/>
    <mergeCell ref="F4:I4"/>
  </mergeCells>
  <pageMargins left="0.75" right="0.75" top="1" bottom="1" header="0.5" footer="0.5"/>
  <pageSetup scale="78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AK27"/>
  <sheetViews>
    <sheetView zoomScaleNormal="100" workbookViewId="0">
      <selection activeCell="F16" sqref="F16"/>
    </sheetView>
  </sheetViews>
  <sheetFormatPr defaultColWidth="10.7109375" defaultRowHeight="15.75"/>
  <cols>
    <col min="1" max="1" width="4.28515625" style="3" customWidth="1"/>
    <col min="2" max="2" width="70" style="3" bestFit="1" customWidth="1"/>
    <col min="3" max="3" width="26.5703125" style="4" customWidth="1"/>
    <col min="4" max="9" width="19" style="5" customWidth="1"/>
    <col min="10" max="37" width="10.7109375" style="13"/>
    <col min="38" max="16384" width="10.7109375" style="3"/>
  </cols>
  <sheetData>
    <row r="2" spans="1:37">
      <c r="E2" s="4" t="s">
        <v>24</v>
      </c>
      <c r="F2" s="28" t="str">
        <f>'LD50'!F2</f>
        <v>827-2251</v>
      </c>
      <c r="G2" s="3"/>
    </row>
    <row r="3" spans="1:37" ht="26.25">
      <c r="B3" s="8" t="s">
        <v>64</v>
      </c>
      <c r="F3" s="72"/>
      <c r="G3" s="72"/>
      <c r="H3" s="72"/>
      <c r="I3" s="72"/>
    </row>
    <row r="4" spans="1:37">
      <c r="D4" s="10"/>
      <c r="F4" s="72"/>
      <c r="G4" s="72"/>
      <c r="H4" s="72"/>
      <c r="I4" s="72"/>
    </row>
    <row r="5" spans="1:37">
      <c r="B5" s="27" t="s">
        <v>31</v>
      </c>
      <c r="C5" s="29" t="s">
        <v>27</v>
      </c>
      <c r="D5" s="10" t="s">
        <v>85</v>
      </c>
      <c r="F5" s="9"/>
      <c r="G5" s="9"/>
      <c r="H5" s="9"/>
      <c r="I5" s="9"/>
    </row>
    <row r="6" spans="1:37">
      <c r="B6" s="27" t="s">
        <v>29</v>
      </c>
      <c r="C6" s="29" t="s">
        <v>7</v>
      </c>
      <c r="D6" s="49">
        <v>1</v>
      </c>
    </row>
    <row r="7" spans="1:37">
      <c r="B7" s="27" t="s">
        <v>30</v>
      </c>
      <c r="C7" s="29" t="s">
        <v>8</v>
      </c>
      <c r="D7" s="12">
        <v>10</v>
      </c>
      <c r="E7" s="5" t="s">
        <v>16</v>
      </c>
      <c r="F7" s="53">
        <f>LOG(D7)</f>
        <v>1</v>
      </c>
    </row>
    <row r="8" spans="1:37" s="13" customFormat="1">
      <c r="B8" s="44" t="s">
        <v>2</v>
      </c>
      <c r="C8" s="14"/>
      <c r="D8" s="55">
        <f>D6</f>
        <v>1</v>
      </c>
      <c r="E8" s="55">
        <f>D8*D7</f>
        <v>10</v>
      </c>
      <c r="F8" s="55">
        <f>E8*D7</f>
        <v>100</v>
      </c>
      <c r="G8" s="55">
        <f>F8*D7</f>
        <v>1000</v>
      </c>
      <c r="H8" s="55">
        <f>G8*D7</f>
        <v>10000</v>
      </c>
      <c r="I8" s="55">
        <f>H8*D7</f>
        <v>100000</v>
      </c>
    </row>
    <row r="9" spans="1:37">
      <c r="B9" s="43" t="s">
        <v>4</v>
      </c>
      <c r="C9" s="45" t="s">
        <v>12</v>
      </c>
      <c r="D9" s="17">
        <v>11</v>
      </c>
      <c r="E9" s="17">
        <v>11</v>
      </c>
      <c r="F9" s="17">
        <v>11</v>
      </c>
      <c r="G9" s="17">
        <v>11</v>
      </c>
      <c r="H9" s="17">
        <v>11</v>
      </c>
      <c r="I9" s="17">
        <v>11</v>
      </c>
    </row>
    <row r="10" spans="1:37">
      <c r="B10" s="42" t="s">
        <v>19</v>
      </c>
      <c r="C10" s="46" t="s">
        <v>10</v>
      </c>
      <c r="D10" s="19">
        <v>11</v>
      </c>
      <c r="E10" s="19">
        <v>10</v>
      </c>
      <c r="F10" s="19">
        <v>6</v>
      </c>
      <c r="G10" s="19">
        <v>5</v>
      </c>
      <c r="H10" s="19">
        <v>3</v>
      </c>
      <c r="I10" s="19">
        <v>2</v>
      </c>
    </row>
    <row r="11" spans="1:37">
      <c r="A11" s="27"/>
      <c r="B11" s="28" t="s">
        <v>3</v>
      </c>
      <c r="C11" s="29" t="s">
        <v>11</v>
      </c>
      <c r="D11" s="30">
        <f t="shared" ref="D11:I11" si="0">D9-D10</f>
        <v>0</v>
      </c>
      <c r="E11" s="30">
        <f t="shared" si="0"/>
        <v>1</v>
      </c>
      <c r="F11" s="30">
        <f t="shared" si="0"/>
        <v>5</v>
      </c>
      <c r="G11" s="30">
        <f t="shared" si="0"/>
        <v>6</v>
      </c>
      <c r="H11" s="30">
        <f t="shared" si="0"/>
        <v>8</v>
      </c>
      <c r="I11" s="30">
        <f t="shared" si="0"/>
        <v>9</v>
      </c>
    </row>
    <row r="12" spans="1:37">
      <c r="A12" s="27"/>
      <c r="B12" s="27"/>
      <c r="C12" s="29" t="s">
        <v>25</v>
      </c>
      <c r="D12" s="31">
        <f>D10+E10+F10+G10+H10+I10</f>
        <v>37</v>
      </c>
      <c r="E12" s="31">
        <f>E10+F10+G10+H10+I10</f>
        <v>26</v>
      </c>
      <c r="F12" s="31">
        <f>F10+G10+H10+I10</f>
        <v>16</v>
      </c>
      <c r="G12" s="31">
        <f>G10+H10+I10</f>
        <v>10</v>
      </c>
      <c r="H12" s="31">
        <f>H10+I10</f>
        <v>5</v>
      </c>
      <c r="I12" s="31">
        <f>I10</f>
        <v>2</v>
      </c>
    </row>
    <row r="13" spans="1:37">
      <c r="A13" s="27"/>
      <c r="B13" s="27"/>
      <c r="C13" s="29" t="s">
        <v>26</v>
      </c>
      <c r="D13" s="30">
        <f>D11</f>
        <v>0</v>
      </c>
      <c r="E13" s="30">
        <f>D11+E11</f>
        <v>1</v>
      </c>
      <c r="F13" s="30">
        <f>D11+E11+F11</f>
        <v>6</v>
      </c>
      <c r="G13" s="30">
        <f>D11+E11+F11+G11</f>
        <v>12</v>
      </c>
      <c r="H13" s="30">
        <f>D11+E11+F11+G11+H11</f>
        <v>20</v>
      </c>
      <c r="I13" s="30">
        <f>D11+E11+F11+G11+H11+I11</f>
        <v>29</v>
      </c>
    </row>
    <row r="14" spans="1:37">
      <c r="A14" s="27"/>
      <c r="B14" s="27"/>
      <c r="C14" s="29" t="s">
        <v>20</v>
      </c>
      <c r="D14" s="51">
        <f>100*(D12/(D12+D13))</f>
        <v>100</v>
      </c>
      <c r="E14" s="32">
        <f t="shared" ref="E14:I14" si="1">100*E12/(E12+E13)</f>
        <v>96.296296296296291</v>
      </c>
      <c r="F14" s="32">
        <f t="shared" si="1"/>
        <v>72.727272727272734</v>
      </c>
      <c r="G14" s="32">
        <f t="shared" si="1"/>
        <v>45.454545454545453</v>
      </c>
      <c r="H14" s="32">
        <f t="shared" si="1"/>
        <v>20</v>
      </c>
      <c r="I14" s="32">
        <f t="shared" si="1"/>
        <v>6.4516129032258061</v>
      </c>
    </row>
    <row r="15" spans="1:37" s="20" customFormat="1">
      <c r="A15" s="33"/>
      <c r="B15" s="33"/>
      <c r="C15" s="34" t="s">
        <v>1</v>
      </c>
      <c r="D15" s="35">
        <f>IF(D14=100,IF(E14&lt;51,(D14-50)/(D14-E14),0),IF(D14=0,0,IF(E14&lt;51,(D14-50)/(D14-E14),0)))</f>
        <v>0</v>
      </c>
      <c r="E15" s="35">
        <f t="shared" ref="E15:I15" si="2">IF(E14=100,IF(F14&lt;51,(E14-50)/(E14-F14),0),IF(E14=0,0,IF(F14&lt;51,(E14-50)/(E14-F14),0)))</f>
        <v>0</v>
      </c>
      <c r="F15" s="35">
        <f t="shared" si="2"/>
        <v>0.83333333333333337</v>
      </c>
      <c r="G15" s="35">
        <f t="shared" si="2"/>
        <v>-0.17857142857142863</v>
      </c>
      <c r="H15" s="35">
        <f t="shared" si="2"/>
        <v>-2.2142857142857144</v>
      </c>
      <c r="I15" s="35">
        <f t="shared" si="2"/>
        <v>-6.75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</row>
    <row r="16" spans="1:37">
      <c r="A16" s="27"/>
      <c r="B16" s="27" t="s">
        <v>14</v>
      </c>
      <c r="C16" s="29" t="s">
        <v>15</v>
      </c>
      <c r="D16" s="32" t="str">
        <f>IF(D15&gt;0,IF(E14&lt;51,IF(E9&gt;0,10^(LOG(D7)*D15)*D8," ")," ")," ")</f>
        <v xml:space="preserve"> </v>
      </c>
      <c r="E16" s="32" t="str">
        <f>IF(E15&gt;0,IF(F14&lt;51,IF(F9&gt;0,10^(LOG(D7)*E15)*E8," ")," ")," ")</f>
        <v xml:space="preserve"> </v>
      </c>
      <c r="F16" s="32">
        <f>IF(F15&gt;0,IF(G14&lt;51,IF(G9&gt;0,10^(LOG(D7)*F15)*F8," ")," ")," ")</f>
        <v>681.29206905796138</v>
      </c>
      <c r="G16" s="32" t="str">
        <f>IF(G15&gt;0,IF(H14&lt;51,IF(H9&gt;0,10^(LOG(D7)*G15)*G8," ")," ")," ")</f>
        <v xml:space="preserve"> </v>
      </c>
      <c r="H16" s="32" t="str">
        <f>IF(H15&gt;0,IF(I14&lt;51,IF(I9&gt;0,10^(LOG(D7)*H15)*H8," ")," ")," ")</f>
        <v xml:space="preserve"> </v>
      </c>
      <c r="I16" s="32"/>
    </row>
    <row r="17" spans="1:37">
      <c r="A17" s="27"/>
      <c r="B17" s="27"/>
      <c r="C17" s="29"/>
      <c r="D17" s="36"/>
      <c r="E17" s="36"/>
      <c r="F17" s="36"/>
      <c r="G17" s="36"/>
      <c r="H17" s="36"/>
      <c r="I17" s="36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>
      <c r="A18" s="27"/>
      <c r="B18" s="27" t="s">
        <v>65</v>
      </c>
      <c r="C18" s="40" t="s">
        <v>21</v>
      </c>
      <c r="D18" s="56">
        <f>IF(SUM('PD50 Serial'!D16:I16)&gt;0,IF(SUM('PD50 Ref'!D16:I16)&gt;0,(SUM('PD50 Serial'!D16:I16))/(SUM('PD50 Ref'!D16:I16))," ")," ")</f>
        <v>145.09981034668678</v>
      </c>
      <c r="E18" s="57"/>
      <c r="F18" s="57"/>
      <c r="G18" s="57"/>
      <c r="H18" s="57"/>
      <c r="I18" s="57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1:37">
      <c r="A19" s="27"/>
      <c r="B19" s="39"/>
      <c r="C19" s="29"/>
      <c r="D19" s="31"/>
      <c r="E19" s="31"/>
      <c r="F19" s="31"/>
      <c r="G19" s="31"/>
      <c r="H19" s="31"/>
      <c r="I19" s="31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>
      <c r="A20" s="27"/>
      <c r="B20" s="1"/>
      <c r="C20" s="29"/>
      <c r="D20" s="31"/>
      <c r="E20" s="31"/>
      <c r="F20" s="31"/>
      <c r="G20" s="31"/>
      <c r="H20" s="31"/>
      <c r="I20" s="31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 s="13" customFormat="1">
      <c r="A21" s="58"/>
      <c r="B21" s="58" t="s">
        <v>32</v>
      </c>
      <c r="C21" s="40" t="s">
        <v>17</v>
      </c>
      <c r="D21" s="41" t="str">
        <f>IF(D15&gt;0,IF(E14&lt;51,IF(E9&gt;0,LOG(D7)*D15," ")," ")," ")</f>
        <v xml:space="preserve"> </v>
      </c>
      <c r="E21" s="41" t="str">
        <f>IF(E15&gt;0,IF(F14&lt;51,IF(F9&gt;0,LOG(D7)*E15," ")," ")," ")</f>
        <v xml:space="preserve"> </v>
      </c>
      <c r="F21" s="41">
        <f>IF(F15&gt;0,IF(G14&lt;51,IF(G9&gt;0,LOG(D7)*F15," ")," ")," ")</f>
        <v>0.83333333333333337</v>
      </c>
      <c r="G21" s="41" t="str">
        <f>IF(G15&gt;0,IF(H14&lt;51,IF(H9&gt;0,LOG(D7)*G15," ")," ")," ")</f>
        <v xml:space="preserve"> </v>
      </c>
      <c r="H21" s="41" t="str">
        <f>IF(H15&gt;0,IF(I14&lt;51,IF(I9&gt;0,LOG(D7)*H15," ")," ")," ")</f>
        <v xml:space="preserve"> </v>
      </c>
      <c r="I21" s="41"/>
    </row>
    <row r="22" spans="1:37" s="13" customFormat="1">
      <c r="A22" s="58"/>
      <c r="B22" s="58"/>
      <c r="C22" s="40" t="s">
        <v>33</v>
      </c>
      <c r="D22" s="41" t="str">
        <f>IF(D15&gt;0,IF(E14&lt;51,IF(E9&gt;0,10^(D21)," ")," ")," ")</f>
        <v xml:space="preserve"> </v>
      </c>
      <c r="E22" s="41" t="str">
        <f>IF(E15&gt;0,IF(F14&lt;51,IF(F9&gt;0,10^(E21)," ")," ")," ")</f>
        <v xml:space="preserve"> </v>
      </c>
      <c r="F22" s="41">
        <f t="shared" ref="F22:I22" si="3">IF(F15&gt;0,IF(G14&lt;51,IF(G9&gt;0,10^(F21)," ")," ")," ")</f>
        <v>6.812920690579614</v>
      </c>
      <c r="G22" s="41" t="str">
        <f t="shared" si="3"/>
        <v xml:space="preserve"> </v>
      </c>
      <c r="H22" s="41" t="str">
        <f t="shared" si="3"/>
        <v xml:space="preserve"> </v>
      </c>
      <c r="I22" s="41" t="str">
        <f t="shared" si="3"/>
        <v xml:space="preserve"> </v>
      </c>
    </row>
    <row r="23" spans="1:37">
      <c r="A23" s="27"/>
      <c r="B23" s="27"/>
      <c r="C23" s="29"/>
      <c r="D23" s="31"/>
      <c r="E23" s="31"/>
      <c r="F23" s="31"/>
      <c r="G23" s="31"/>
      <c r="H23" s="31"/>
      <c r="I23" s="31"/>
    </row>
    <row r="24" spans="1:37">
      <c r="A24" s="27"/>
      <c r="B24" s="27"/>
      <c r="C24" s="29"/>
      <c r="D24" s="31"/>
      <c r="E24" s="31"/>
      <c r="F24" s="31"/>
      <c r="G24" s="31"/>
      <c r="H24" s="31"/>
      <c r="I24" s="31"/>
    </row>
    <row r="25" spans="1:37">
      <c r="A25" s="27"/>
      <c r="B25" s="27"/>
      <c r="C25" s="29"/>
      <c r="D25" s="36"/>
      <c r="E25" s="31"/>
      <c r="F25" s="31"/>
      <c r="G25" s="31"/>
      <c r="H25" s="31"/>
      <c r="I25" s="31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spans="1:37">
      <c r="A26" s="27"/>
      <c r="B26" s="27"/>
      <c r="C26" s="40" t="s">
        <v>45</v>
      </c>
      <c r="D26" s="36"/>
      <c r="E26" s="31"/>
      <c r="F26" s="31"/>
      <c r="G26" s="31"/>
      <c r="H26" s="31"/>
      <c r="I26" s="31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1:37">
      <c r="A27" s="27"/>
      <c r="B27" s="27"/>
      <c r="C27" s="29"/>
      <c r="D27" s="31"/>
      <c r="E27" s="31"/>
      <c r="F27" s="31"/>
      <c r="G27" s="31"/>
      <c r="H27" s="31"/>
      <c r="I27" s="31"/>
    </row>
  </sheetData>
  <sheetProtection password="8E1E" sheet="1" objects="1" scenarios="1"/>
  <mergeCells count="2">
    <mergeCell ref="F3:I3"/>
    <mergeCell ref="F4:I4"/>
  </mergeCells>
  <pageMargins left="0.75" right="0.75" top="1" bottom="1" header="0.5" footer="0.5"/>
  <pageSetup scale="7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AK32"/>
  <sheetViews>
    <sheetView topLeftCell="C1" workbookViewId="0">
      <selection activeCell="G21" sqref="G21"/>
    </sheetView>
  </sheetViews>
  <sheetFormatPr defaultColWidth="10.7109375" defaultRowHeight="15.75"/>
  <cols>
    <col min="1" max="1" width="4.28515625" style="3" customWidth="1"/>
    <col min="2" max="2" width="70" style="3" bestFit="1" customWidth="1"/>
    <col min="3" max="3" width="26.5703125" style="4" customWidth="1"/>
    <col min="4" max="9" width="19" style="5" customWidth="1"/>
    <col min="10" max="37" width="10.7109375" style="13"/>
    <col min="38" max="16384" width="10.7109375" style="3"/>
  </cols>
  <sheetData>
    <row r="2" spans="1:37">
      <c r="E2" s="4" t="s">
        <v>24</v>
      </c>
      <c r="F2" s="28" t="str">
        <f>'LD50'!F2</f>
        <v>827-2251</v>
      </c>
      <c r="G2" s="3"/>
    </row>
    <row r="3" spans="1:37" ht="26.25">
      <c r="B3" s="8" t="s">
        <v>64</v>
      </c>
      <c r="F3" s="72"/>
      <c r="G3" s="72"/>
      <c r="H3" s="72"/>
      <c r="I3" s="72"/>
    </row>
    <row r="4" spans="1:37">
      <c r="D4" s="10"/>
      <c r="F4" s="72"/>
      <c r="G4" s="72"/>
      <c r="H4" s="72"/>
      <c r="I4" s="72"/>
    </row>
    <row r="5" spans="1:37">
      <c r="B5" s="27" t="s">
        <v>31</v>
      </c>
      <c r="C5" s="29" t="s">
        <v>27</v>
      </c>
      <c r="D5" s="10" t="s">
        <v>81</v>
      </c>
      <c r="F5" s="9"/>
      <c r="G5" s="9"/>
      <c r="H5" s="9"/>
      <c r="I5" s="9"/>
    </row>
    <row r="6" spans="1:37">
      <c r="B6" s="27" t="s">
        <v>29</v>
      </c>
      <c r="C6" s="29" t="s">
        <v>7</v>
      </c>
      <c r="D6" s="49">
        <v>1</v>
      </c>
    </row>
    <row r="7" spans="1:37">
      <c r="B7" s="27" t="s">
        <v>30</v>
      </c>
      <c r="C7" s="29" t="s">
        <v>8</v>
      </c>
      <c r="D7" s="12">
        <v>5</v>
      </c>
      <c r="E7" s="5" t="s">
        <v>16</v>
      </c>
      <c r="F7" s="53">
        <f>LOG(D7)</f>
        <v>0.69897000433601886</v>
      </c>
    </row>
    <row r="8" spans="1:37" s="13" customFormat="1">
      <c r="B8" s="44" t="s">
        <v>2</v>
      </c>
      <c r="C8" s="59"/>
      <c r="D8" s="55">
        <f>D6</f>
        <v>1</v>
      </c>
      <c r="E8" s="55">
        <f>D8*D7</f>
        <v>5</v>
      </c>
      <c r="F8" s="55">
        <f>E8*D7</f>
        <v>25</v>
      </c>
      <c r="G8" s="55">
        <f>F8*D7</f>
        <v>125</v>
      </c>
      <c r="H8" s="55">
        <f>G8*D7</f>
        <v>625</v>
      </c>
      <c r="I8" s="55">
        <f>H8*D7</f>
        <v>3125</v>
      </c>
    </row>
    <row r="9" spans="1:37">
      <c r="B9" s="43" t="s">
        <v>4</v>
      </c>
      <c r="C9" s="45" t="s">
        <v>12</v>
      </c>
      <c r="D9" s="17">
        <v>20</v>
      </c>
      <c r="E9" s="17">
        <v>20</v>
      </c>
      <c r="F9" s="17">
        <v>20</v>
      </c>
      <c r="G9" s="17"/>
      <c r="H9" s="17"/>
      <c r="I9" s="17"/>
    </row>
    <row r="10" spans="1:37">
      <c r="B10" s="42" t="s">
        <v>19</v>
      </c>
      <c r="C10" s="46" t="s">
        <v>10</v>
      </c>
      <c r="D10" s="19">
        <v>9</v>
      </c>
      <c r="E10" s="19">
        <v>4</v>
      </c>
      <c r="F10" s="19">
        <v>2</v>
      </c>
      <c r="G10" s="19"/>
      <c r="H10" s="19"/>
      <c r="I10" s="19"/>
    </row>
    <row r="11" spans="1:37">
      <c r="A11" s="27"/>
      <c r="B11" s="28" t="s">
        <v>3</v>
      </c>
      <c r="C11" s="29" t="s">
        <v>11</v>
      </c>
      <c r="D11" s="30">
        <f t="shared" ref="D11:I11" si="0">D9-D10</f>
        <v>11</v>
      </c>
      <c r="E11" s="30">
        <f t="shared" si="0"/>
        <v>16</v>
      </c>
      <c r="F11" s="30">
        <f>F9-F10</f>
        <v>18</v>
      </c>
      <c r="G11" s="30">
        <f>G9-G10</f>
        <v>0</v>
      </c>
      <c r="H11" s="30">
        <f t="shared" si="0"/>
        <v>0</v>
      </c>
      <c r="I11" s="30">
        <f t="shared" si="0"/>
        <v>0</v>
      </c>
    </row>
    <row r="12" spans="1:37">
      <c r="A12" s="27"/>
      <c r="B12" s="27"/>
      <c r="C12" s="29" t="s">
        <v>25</v>
      </c>
      <c r="D12" s="31">
        <f>D10+E10+F10+G10+H10+I10</f>
        <v>15</v>
      </c>
      <c r="E12" s="31">
        <f>E10+F10+G10+H10+I10</f>
        <v>6</v>
      </c>
      <c r="F12" s="31">
        <f>F10+G10+H10+I10</f>
        <v>2</v>
      </c>
      <c r="G12" s="31">
        <f>G10+H10+I10</f>
        <v>0</v>
      </c>
      <c r="H12" s="31">
        <f>H10+I10</f>
        <v>0</v>
      </c>
      <c r="I12" s="31">
        <f>I10</f>
        <v>0</v>
      </c>
    </row>
    <row r="13" spans="1:37">
      <c r="A13" s="27"/>
      <c r="B13" s="27"/>
      <c r="C13" s="29" t="s">
        <v>26</v>
      </c>
      <c r="D13" s="30">
        <f>D11</f>
        <v>11</v>
      </c>
      <c r="E13" s="30">
        <f>D11+E11</f>
        <v>27</v>
      </c>
      <c r="F13" s="30">
        <f>D11+E11+F11</f>
        <v>45</v>
      </c>
      <c r="G13" s="30">
        <f>D11+E11+F11+G11</f>
        <v>45</v>
      </c>
      <c r="H13" s="30">
        <f>D11+E11+F11+G11+H11</f>
        <v>45</v>
      </c>
      <c r="I13" s="30">
        <f>D11+E11+F11+G11+H11+I11</f>
        <v>45</v>
      </c>
    </row>
    <row r="14" spans="1:37">
      <c r="A14" s="27"/>
      <c r="B14" s="27"/>
      <c r="C14" s="29" t="s">
        <v>20</v>
      </c>
      <c r="D14" s="51">
        <f t="shared" ref="D14:I14" si="1">100*D12/(D12+D13)</f>
        <v>57.692307692307693</v>
      </c>
      <c r="E14" s="32">
        <f t="shared" si="1"/>
        <v>18.181818181818183</v>
      </c>
      <c r="F14" s="32">
        <f t="shared" si="1"/>
        <v>4.2553191489361701</v>
      </c>
      <c r="G14" s="32">
        <f t="shared" si="1"/>
        <v>0</v>
      </c>
      <c r="H14" s="32">
        <f t="shared" si="1"/>
        <v>0</v>
      </c>
      <c r="I14" s="32">
        <f t="shared" si="1"/>
        <v>0</v>
      </c>
    </row>
    <row r="15" spans="1:37" s="20" customFormat="1">
      <c r="A15" s="33"/>
      <c r="B15" s="33"/>
      <c r="C15" s="34" t="s">
        <v>1</v>
      </c>
      <c r="D15" s="35">
        <f>IF(D14=100,IF(E14&lt;51,(D14-50)/(D14-E14),0),IF(D14=0,0,IF(E14&lt;51,(D14-50)/(D14-E14),0)))</f>
        <v>0.19469026548672572</v>
      </c>
      <c r="E15" s="35">
        <f t="shared" ref="E15:I15" si="2">IF(E14=100,IF(F14&lt;51,(E14-50)/(E14-F14),0),IF(E14=0,0,IF(F14&lt;51,(E14-50)/(E14-F14),0)))</f>
        <v>-2.2847222222222219</v>
      </c>
      <c r="F15" s="35">
        <f t="shared" si="2"/>
        <v>-10.750000000000002</v>
      </c>
      <c r="G15" s="35">
        <f t="shared" si="2"/>
        <v>0</v>
      </c>
      <c r="H15" s="35">
        <f t="shared" si="2"/>
        <v>0</v>
      </c>
      <c r="I15" s="35">
        <f t="shared" si="2"/>
        <v>0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</row>
    <row r="16" spans="1:37">
      <c r="A16" s="27"/>
      <c r="B16" s="27" t="s">
        <v>14</v>
      </c>
      <c r="C16" s="29" t="s">
        <v>15</v>
      </c>
      <c r="D16" s="32">
        <f>IF(D15&gt;0,IF(E14&lt;51,IF(E9&gt;0,10^(LOG(D7)*D15)*D8," ")," ")," ")</f>
        <v>1.3679891589929425</v>
      </c>
      <c r="E16" s="32" t="str">
        <f>IF(E15&gt;0,IF(F14&lt;51,IF(F9&gt;0,10^(LOG(D7)*E15)*E8," ")," ")," ")</f>
        <v xml:space="preserve"> </v>
      </c>
      <c r="F16" s="32" t="str">
        <f>IF(F15&gt;0,IF(G14&lt;51,IF(G9&gt;0,10^(LOG(D7)*F15)*F8," ")," ")," ")</f>
        <v xml:space="preserve"> </v>
      </c>
      <c r="G16" s="32" t="str">
        <f>IF(G15&gt;0,IF(H14&lt;51,IF(H9&gt;0,10^(LOG(D7)*G15)*G8," ")," ")," ")</f>
        <v xml:space="preserve"> </v>
      </c>
      <c r="H16" s="32" t="str">
        <f>IF(H15&gt;0,IF(I14&lt;51,IF(I9&gt;0,10^(LOG(D7)*H15)*H8," ")," ")," ")</f>
        <v xml:space="preserve"> </v>
      </c>
      <c r="I16" s="32"/>
    </row>
    <row r="17" spans="1:37">
      <c r="A17" s="27"/>
      <c r="B17" s="27"/>
      <c r="C17" s="29"/>
      <c r="D17" s="36"/>
      <c r="E17" s="36"/>
      <c r="F17" s="36"/>
      <c r="G17" s="36"/>
      <c r="H17" s="36"/>
      <c r="I17" s="36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>
      <c r="A18" s="27"/>
      <c r="B18" s="27" t="s">
        <v>65</v>
      </c>
      <c r="C18" s="40" t="s">
        <v>21</v>
      </c>
      <c r="D18" s="56">
        <f>IF(SUM('PD50 Serial2'!D16:I16)&gt;0,IF(SUM('PD50 Ref'!D16:I16)&gt;0,(SUM('PD50 Serial2'!D16:I16))/(SUM('PD50 Ref'!D16:I16))," ")," ")</f>
        <v>0.29135076796162207</v>
      </c>
      <c r="E18" s="57"/>
      <c r="F18" s="57"/>
      <c r="G18" s="57"/>
      <c r="H18" s="57"/>
      <c r="I18" s="57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1:37">
      <c r="A19" s="27"/>
      <c r="B19" s="39"/>
      <c r="C19" s="29"/>
      <c r="D19" s="31"/>
      <c r="E19" s="31"/>
      <c r="F19" s="31"/>
      <c r="G19" s="31"/>
      <c r="H19" s="31"/>
      <c r="I19" s="31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>
      <c r="A20" s="27"/>
      <c r="B20" s="1"/>
      <c r="C20" s="29"/>
      <c r="D20" s="31"/>
      <c r="E20" s="31"/>
      <c r="F20" s="31"/>
      <c r="G20" s="31"/>
      <c r="H20" s="31"/>
      <c r="I20" s="31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 s="13" customFormat="1">
      <c r="A21" s="58"/>
      <c r="B21" s="58" t="s">
        <v>32</v>
      </c>
      <c r="C21" s="40" t="s">
        <v>17</v>
      </c>
      <c r="D21" s="41">
        <f>IF(D15&gt;0,IF(E14&lt;51,IF(E9&gt;0,LOG(D7)*D15," ")," ")," ")</f>
        <v>0.13608265571143735</v>
      </c>
      <c r="E21" s="41" t="str">
        <f>IF(E15&gt;0,IF(F14&lt;51,IF(F9&gt;0,LOG(D7)*E15," ")," ")," ")</f>
        <v xml:space="preserve"> </v>
      </c>
      <c r="F21" s="41" t="str">
        <f>IF(F15&gt;0,IF(G14&lt;51,IF(G9&gt;0,LOG(D7)*F15," ")," ")," ")</f>
        <v xml:space="preserve"> </v>
      </c>
      <c r="G21" s="41" t="str">
        <f>IF(G15&gt;0,IF(H14&lt;51,IF(H9&gt;0,LOG(D7)*G15," ")," ")," ")</f>
        <v xml:space="preserve"> </v>
      </c>
      <c r="H21" s="41" t="str">
        <f>IF(H15&gt;0,IF(I14&lt;51,IF(I9&gt;0,LOG(D7)*H15," ")," ")," ")</f>
        <v xml:space="preserve"> </v>
      </c>
      <c r="I21" s="41"/>
    </row>
    <row r="22" spans="1:37" s="13" customFormat="1">
      <c r="A22" s="58"/>
      <c r="B22" s="58"/>
      <c r="C22" s="40" t="s">
        <v>33</v>
      </c>
      <c r="D22" s="41">
        <f>IF(D15&gt;0,IF(E14&lt;51,IF(E9&gt;0,10^(D21)," ")," ")," ")</f>
        <v>1.3679891589929425</v>
      </c>
      <c r="E22" s="41" t="str">
        <f>IF(E15&gt;0,IF(F14&lt;51,IF(F9&gt;0,10^(E21)," ")," ")," ")</f>
        <v xml:space="preserve"> </v>
      </c>
      <c r="F22" s="41" t="str">
        <f>IF(F15&gt;0,IF(G14&lt;51,IF(G9&gt;0,10^(F21)," ")," ")," ")</f>
        <v xml:space="preserve"> </v>
      </c>
      <c r="G22" s="41" t="str">
        <f>IF(G15&gt;0,IF(H14&lt;51,IF(H9&gt;0,10^(G21)," ")," ")," ")</f>
        <v xml:space="preserve"> </v>
      </c>
      <c r="H22" s="41" t="str">
        <f>IF(H15&gt;0,IF(I14&lt;51,IF(I9&gt;0,10^(H21)," ")," ")," ")</f>
        <v xml:space="preserve"> </v>
      </c>
      <c r="I22" s="41"/>
    </row>
    <row r="23" spans="1:37">
      <c r="A23" s="27"/>
      <c r="B23" s="27"/>
      <c r="C23" s="29"/>
      <c r="D23" s="31"/>
      <c r="E23" s="31"/>
      <c r="F23" s="31"/>
      <c r="G23" s="31"/>
      <c r="H23" s="31"/>
      <c r="I23" s="31"/>
    </row>
    <row r="24" spans="1:37">
      <c r="A24" s="27"/>
      <c r="B24" s="27"/>
      <c r="C24" s="29"/>
      <c r="D24" s="31"/>
      <c r="E24" s="31"/>
      <c r="F24" s="31"/>
      <c r="G24" s="31"/>
      <c r="H24" s="31"/>
      <c r="I24" s="31"/>
    </row>
    <row r="25" spans="1:37">
      <c r="A25" s="27"/>
      <c r="B25" s="27"/>
      <c r="C25" s="29"/>
      <c r="D25" s="36"/>
      <c r="E25" s="31"/>
      <c r="F25" s="31"/>
      <c r="G25" s="31"/>
      <c r="H25" s="31"/>
      <c r="I25" s="31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spans="1:37">
      <c r="A26" s="27"/>
      <c r="B26" s="27"/>
      <c r="C26" s="40" t="s">
        <v>45</v>
      </c>
      <c r="D26" s="36"/>
      <c r="E26" s="31"/>
      <c r="F26" s="31"/>
      <c r="G26" s="31"/>
      <c r="H26" s="31"/>
      <c r="I26" s="31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1:37">
      <c r="A27" s="27"/>
      <c r="B27" s="27"/>
      <c r="C27" s="29"/>
      <c r="D27" s="31"/>
      <c r="E27" s="31"/>
      <c r="F27" s="31"/>
      <c r="G27" s="31"/>
      <c r="H27" s="31"/>
      <c r="I27" s="31"/>
    </row>
    <row r="28" spans="1:37">
      <c r="A28" s="27"/>
      <c r="B28" s="27"/>
      <c r="C28" s="29"/>
      <c r="D28" s="31"/>
      <c r="E28" s="31"/>
      <c r="F28" s="31"/>
      <c r="G28" s="31"/>
      <c r="H28" s="31"/>
      <c r="I28" s="31"/>
    </row>
    <row r="29" spans="1:37">
      <c r="A29" s="27"/>
      <c r="B29" s="27"/>
      <c r="C29" s="29"/>
      <c r="D29" s="31"/>
      <c r="E29" s="31"/>
      <c r="F29" s="31"/>
      <c r="G29" s="31"/>
      <c r="H29" s="31"/>
      <c r="I29" s="31"/>
    </row>
    <row r="30" spans="1:37">
      <c r="A30" s="27"/>
      <c r="B30" s="27"/>
      <c r="C30" s="29"/>
      <c r="D30" s="31"/>
      <c r="E30" s="31"/>
      <c r="F30" s="31"/>
      <c r="G30" s="31"/>
      <c r="H30" s="31"/>
      <c r="I30" s="31"/>
    </row>
    <row r="31" spans="1:37">
      <c r="A31" s="27"/>
      <c r="B31" s="27"/>
      <c r="C31" s="29"/>
      <c r="D31" s="31"/>
      <c r="E31" s="31"/>
      <c r="F31" s="31"/>
      <c r="G31" s="31"/>
      <c r="H31" s="31"/>
      <c r="I31" s="31"/>
    </row>
    <row r="32" spans="1:37">
      <c r="A32" s="27"/>
      <c r="B32" s="27"/>
      <c r="C32" s="29"/>
      <c r="D32" s="31"/>
      <c r="E32" s="31"/>
      <c r="F32" s="31"/>
      <c r="G32" s="31"/>
      <c r="H32" s="31"/>
      <c r="I32" s="31"/>
    </row>
  </sheetData>
  <sheetProtection password="8E1E" sheet="1" objects="1" scenarios="1"/>
  <mergeCells count="2">
    <mergeCell ref="F3:I3"/>
    <mergeCell ref="F4:I4"/>
  </mergeCells>
  <pageMargins left="0.7" right="0.7" top="0.75" bottom="0.75" header="0.3" footer="0.3"/>
  <pageSetup scale="7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AK29"/>
  <sheetViews>
    <sheetView topLeftCell="C1" zoomScaleNormal="100" workbookViewId="0">
      <selection activeCell="D9" sqref="D9:I10"/>
    </sheetView>
  </sheetViews>
  <sheetFormatPr defaultColWidth="10.7109375" defaultRowHeight="15.75"/>
  <cols>
    <col min="1" max="1" width="4.28515625" style="3" customWidth="1"/>
    <col min="2" max="2" width="70" style="3" bestFit="1" customWidth="1"/>
    <col min="3" max="3" width="26.5703125" style="4" customWidth="1"/>
    <col min="4" max="9" width="19" style="5" customWidth="1"/>
    <col min="10" max="37" width="10.7109375" style="13"/>
    <col min="38" max="16384" width="10.7109375" style="3"/>
  </cols>
  <sheetData>
    <row r="2" spans="1:37">
      <c r="E2" s="4" t="s">
        <v>24</v>
      </c>
      <c r="F2" s="28" t="str">
        <f>'LD50'!F2</f>
        <v>827-2251</v>
      </c>
      <c r="G2" s="3"/>
    </row>
    <row r="3" spans="1:37" ht="26.25">
      <c r="B3" s="8" t="s">
        <v>64</v>
      </c>
      <c r="F3" s="72"/>
      <c r="G3" s="72"/>
      <c r="H3" s="72"/>
      <c r="I3" s="72"/>
    </row>
    <row r="4" spans="1:37">
      <c r="D4" s="10"/>
      <c r="F4" s="72"/>
      <c r="G4" s="72"/>
      <c r="H4" s="72"/>
      <c r="I4" s="72"/>
    </row>
    <row r="5" spans="1:37">
      <c r="B5" s="27" t="s">
        <v>31</v>
      </c>
      <c r="C5" s="29" t="s">
        <v>27</v>
      </c>
      <c r="D5" s="10"/>
      <c r="F5" s="9"/>
      <c r="G5" s="9"/>
      <c r="H5" s="9"/>
      <c r="I5" s="9"/>
    </row>
    <row r="6" spans="1:37">
      <c r="B6" s="27" t="s">
        <v>29</v>
      </c>
      <c r="C6" s="29" t="s">
        <v>7</v>
      </c>
      <c r="D6" s="49"/>
    </row>
    <row r="7" spans="1:37">
      <c r="B7" s="27" t="s">
        <v>30</v>
      </c>
      <c r="C7" s="29" t="s">
        <v>8</v>
      </c>
      <c r="D7" s="12"/>
      <c r="E7" s="31" t="s">
        <v>16</v>
      </c>
      <c r="F7" s="53" t="e">
        <f>LOG(D7)</f>
        <v>#NUM!</v>
      </c>
    </row>
    <row r="8" spans="1:37" s="13" customFormat="1">
      <c r="B8" s="44" t="s">
        <v>2</v>
      </c>
      <c r="C8" s="59"/>
      <c r="D8" s="55">
        <f>D6</f>
        <v>0</v>
      </c>
      <c r="E8" s="55">
        <f>D8*D7</f>
        <v>0</v>
      </c>
      <c r="F8" s="55">
        <f>E8*D7</f>
        <v>0</v>
      </c>
      <c r="G8" s="55">
        <f>F8*D7</f>
        <v>0</v>
      </c>
      <c r="H8" s="55">
        <f>G8*D7</f>
        <v>0</v>
      </c>
      <c r="I8" s="55">
        <f>H8*D7</f>
        <v>0</v>
      </c>
    </row>
    <row r="9" spans="1:37">
      <c r="B9" s="43" t="s">
        <v>4</v>
      </c>
      <c r="C9" s="45" t="s">
        <v>12</v>
      </c>
      <c r="D9" s="17"/>
      <c r="E9" s="17"/>
      <c r="F9" s="17"/>
      <c r="G9" s="17"/>
      <c r="H9" s="17"/>
      <c r="I9" s="17"/>
    </row>
    <row r="10" spans="1:37">
      <c r="B10" s="42" t="s">
        <v>19</v>
      </c>
      <c r="C10" s="46" t="s">
        <v>10</v>
      </c>
      <c r="D10" s="19"/>
      <c r="E10" s="19"/>
      <c r="F10" s="19"/>
      <c r="G10" s="19"/>
      <c r="H10" s="19"/>
      <c r="I10" s="19"/>
    </row>
    <row r="11" spans="1:37">
      <c r="A11" s="27"/>
      <c r="B11" s="28" t="s">
        <v>3</v>
      </c>
      <c r="C11" s="29" t="s">
        <v>11</v>
      </c>
      <c r="D11" s="30">
        <f t="shared" ref="D11:I11" si="0">D9-D10</f>
        <v>0</v>
      </c>
      <c r="E11" s="30">
        <f t="shared" si="0"/>
        <v>0</v>
      </c>
      <c r="F11" s="30">
        <f t="shared" si="0"/>
        <v>0</v>
      </c>
      <c r="G11" s="30">
        <f t="shared" si="0"/>
        <v>0</v>
      </c>
      <c r="H11" s="30">
        <f t="shared" si="0"/>
        <v>0</v>
      </c>
      <c r="I11" s="30">
        <f t="shared" si="0"/>
        <v>0</v>
      </c>
    </row>
    <row r="12" spans="1:37">
      <c r="A12" s="27"/>
      <c r="B12" s="27"/>
      <c r="C12" s="29" t="s">
        <v>25</v>
      </c>
      <c r="D12" s="31">
        <f>D10+E10+F10+G10+H10+I10</f>
        <v>0</v>
      </c>
      <c r="E12" s="31">
        <f>E10+F10+G10+H10+I10</f>
        <v>0</v>
      </c>
      <c r="F12" s="31">
        <f>F10+G10+H10+I10</f>
        <v>0</v>
      </c>
      <c r="G12" s="31">
        <f>G10+H10+I10</f>
        <v>0</v>
      </c>
      <c r="H12" s="31">
        <f>H10+I10</f>
        <v>0</v>
      </c>
      <c r="I12" s="31">
        <f>I10</f>
        <v>0</v>
      </c>
    </row>
    <row r="13" spans="1:37">
      <c r="A13" s="27"/>
      <c r="B13" s="27"/>
      <c r="C13" s="29" t="s">
        <v>26</v>
      </c>
      <c r="D13" s="30">
        <f>D11</f>
        <v>0</v>
      </c>
      <c r="E13" s="30">
        <f>D11+E11</f>
        <v>0</v>
      </c>
      <c r="F13" s="30">
        <f>D11+E11+F11</f>
        <v>0</v>
      </c>
      <c r="G13" s="30">
        <f>D11+E11+F11+G11</f>
        <v>0</v>
      </c>
      <c r="H13" s="30">
        <f>D11+E11+F11+G11+H11</f>
        <v>0</v>
      </c>
      <c r="I13" s="30">
        <f>D11+E11+F11+G11+H11+I11</f>
        <v>0</v>
      </c>
    </row>
    <row r="14" spans="1:37">
      <c r="A14" s="27"/>
      <c r="B14" s="27"/>
      <c r="C14" s="29" t="s">
        <v>20</v>
      </c>
      <c r="D14" s="51" t="e">
        <f t="shared" ref="D14:I14" si="1">100*D12/(D12+D13)</f>
        <v>#DIV/0!</v>
      </c>
      <c r="E14" s="32" t="e">
        <f t="shared" si="1"/>
        <v>#DIV/0!</v>
      </c>
      <c r="F14" s="32" t="e">
        <f t="shared" si="1"/>
        <v>#DIV/0!</v>
      </c>
      <c r="G14" s="32" t="e">
        <f t="shared" si="1"/>
        <v>#DIV/0!</v>
      </c>
      <c r="H14" s="32" t="e">
        <f t="shared" si="1"/>
        <v>#DIV/0!</v>
      </c>
      <c r="I14" s="32" t="e">
        <f t="shared" si="1"/>
        <v>#DIV/0!</v>
      </c>
    </row>
    <row r="15" spans="1:37" s="20" customFormat="1">
      <c r="A15" s="33"/>
      <c r="B15" s="33"/>
      <c r="C15" s="34" t="s">
        <v>1</v>
      </c>
      <c r="D15" s="35" t="e">
        <f>IF(D14=100,IF(E14&lt;51,(D14-50)/(D14-E14),0),IF(D14=0,0,IF(E14&lt;51,(D14-50)/(D14-E14),0)))</f>
        <v>#DIV/0!</v>
      </c>
      <c r="E15" s="35" t="e">
        <f t="shared" ref="E15:I15" si="2">IF(E14=100,IF(F14&lt;51,(E14-50)/(E14-F14),0),IF(E14=0,0,IF(F14&lt;51,(E14-50)/(E14-F14),0)))</f>
        <v>#DIV/0!</v>
      </c>
      <c r="F15" s="35" t="e">
        <f t="shared" si="2"/>
        <v>#DIV/0!</v>
      </c>
      <c r="G15" s="35" t="e">
        <f t="shared" si="2"/>
        <v>#DIV/0!</v>
      </c>
      <c r="H15" s="35" t="e">
        <f t="shared" si="2"/>
        <v>#DIV/0!</v>
      </c>
      <c r="I15" s="35" t="e">
        <f t="shared" si="2"/>
        <v>#DIV/0!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</row>
    <row r="16" spans="1:37">
      <c r="A16" s="27"/>
      <c r="B16" s="27" t="s">
        <v>14</v>
      </c>
      <c r="C16" s="29" t="s">
        <v>15</v>
      </c>
      <c r="D16" s="32" t="e">
        <f>IF(D15&gt;0,IF(E14&lt;51,IF(E9&gt;0,10^(LOG(D7)*D15)*D8," ")," ")," ")</f>
        <v>#DIV/0!</v>
      </c>
      <c r="E16" s="32" t="e">
        <f>IF(E15&gt;0,IF(F14&lt;51,IF(F9&gt;0,10^(LOG(D7)*E15)*E8," ")," ")," ")</f>
        <v>#DIV/0!</v>
      </c>
      <c r="F16" s="32" t="e">
        <f>IF(F15&gt;0,IF(G14&lt;51,IF(G9&gt;0,10^(LOG(D7)*F15)*F8," ")," ")," ")</f>
        <v>#DIV/0!</v>
      </c>
      <c r="G16" s="32" t="e">
        <f>IF(G15&gt;0,IF(H14&lt;51,IF(H9&gt;0,10^(LOG(D7)*G15)*G8," ")," ")," ")</f>
        <v>#DIV/0!</v>
      </c>
      <c r="H16" s="32" t="e">
        <f>IF(H15&gt;0,IF(I14&lt;51,IF(I9&gt;0,10^(LOG(D7)*H15)*H8," ")," ")," ")</f>
        <v>#DIV/0!</v>
      </c>
      <c r="I16" s="32"/>
    </row>
    <row r="17" spans="1:37">
      <c r="A17" s="27"/>
      <c r="B17" s="27"/>
      <c r="C17" s="29"/>
      <c r="D17" s="36"/>
      <c r="E17" s="36"/>
      <c r="F17" s="36"/>
      <c r="G17" s="36"/>
      <c r="H17" s="36"/>
      <c r="I17" s="36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>
      <c r="A18" s="27"/>
      <c r="B18" s="27" t="s">
        <v>65</v>
      </c>
      <c r="C18" s="40" t="s">
        <v>21</v>
      </c>
      <c r="D18" s="56" t="e">
        <f>IF(SUM('PD50 Serial3'!D16:I16)&gt;0,IF(SUM('PD50 Ref'!D16:I16)&gt;0,(SUM('PD50 Serial3'!D16:I16))/(SUM('PD50 Ref'!D16:I16))," ")," ")</f>
        <v>#DIV/0!</v>
      </c>
      <c r="E18" s="57"/>
      <c r="F18" s="57"/>
      <c r="G18" s="57"/>
      <c r="H18" s="57"/>
      <c r="I18" s="57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1:37">
      <c r="A19" s="27"/>
      <c r="B19" s="39"/>
      <c r="C19" s="29"/>
      <c r="D19" s="31"/>
      <c r="E19" s="31"/>
      <c r="F19" s="31"/>
      <c r="G19" s="31"/>
      <c r="H19" s="31"/>
      <c r="I19" s="31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>
      <c r="A20" s="27"/>
      <c r="B20" s="1"/>
      <c r="C20" s="29"/>
      <c r="D20" s="31"/>
      <c r="E20" s="31"/>
      <c r="F20" s="31"/>
      <c r="G20" s="31"/>
      <c r="H20" s="31"/>
      <c r="I20" s="31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 s="13" customFormat="1">
      <c r="A21" s="58"/>
      <c r="B21" s="58" t="s">
        <v>32</v>
      </c>
      <c r="C21" s="40" t="s">
        <v>17</v>
      </c>
      <c r="D21" s="41" t="e">
        <f>IF(D15&gt;0,IF(E14&lt;51,IF(E9&gt;0,LOG(D7)*D15," ")," ")," ")</f>
        <v>#DIV/0!</v>
      </c>
      <c r="E21" s="41" t="e">
        <f>IF(E15&gt;0,IF(F14&lt;51,IF(F9&gt;0,LOG(D7)*E15," ")," ")," ")</f>
        <v>#DIV/0!</v>
      </c>
      <c r="F21" s="41" t="e">
        <f>IF(F15&gt;0,IF(G14&lt;51,IF(G9&gt;0,LOG(D7)*F15," ")," ")," ")</f>
        <v>#DIV/0!</v>
      </c>
      <c r="G21" s="41" t="e">
        <f>IF(G15&gt;0,IF(H14&lt;51,IF(H9&gt;0,LOG(D7)*G15," ")," ")," ")</f>
        <v>#DIV/0!</v>
      </c>
      <c r="H21" s="41" t="e">
        <f>IF(H15&gt;0,IF(I14&lt;51,IF(I9&gt;0,LOG(D7)*H15," ")," ")," ")</f>
        <v>#DIV/0!</v>
      </c>
      <c r="I21" s="41"/>
    </row>
    <row r="22" spans="1:37" s="13" customFormat="1">
      <c r="A22" s="58"/>
      <c r="B22" s="58"/>
      <c r="C22" s="40" t="s">
        <v>33</v>
      </c>
      <c r="D22" s="41" t="e">
        <f>IF(D15&gt;0,IF(E14&lt;51,IF(E9&gt;0,10^(D21)," ")," ")," ")</f>
        <v>#DIV/0!</v>
      </c>
      <c r="E22" s="41" t="e">
        <f>IF(E15&gt;0,IF(F14&lt;51,IF(F9&gt;0,10^(E21)," ")," ")," ")</f>
        <v>#DIV/0!</v>
      </c>
      <c r="F22" s="41" t="e">
        <f>IF(F15&gt;0,IF(G14&lt;51,IF(G9&gt;0,10^(F21)," ")," ")," ")</f>
        <v>#DIV/0!</v>
      </c>
      <c r="G22" s="41" t="e">
        <f>IF(G15&gt;0,IF(H14&lt;51,IF(H9&gt;0,10^(G21)," ")," ")," ")</f>
        <v>#DIV/0!</v>
      </c>
      <c r="H22" s="41" t="e">
        <f>IF(H15&gt;0,IF(I14&lt;51,IF(I9&gt;0,10^(H21)," ")," ")," ")</f>
        <v>#DIV/0!</v>
      </c>
      <c r="I22" s="41"/>
    </row>
    <row r="23" spans="1:37">
      <c r="A23" s="27"/>
      <c r="B23" s="27"/>
      <c r="C23" s="29"/>
      <c r="D23" s="31"/>
      <c r="E23" s="31"/>
      <c r="F23" s="31"/>
      <c r="G23" s="31"/>
      <c r="H23" s="31"/>
      <c r="I23" s="31"/>
    </row>
    <row r="24" spans="1:37">
      <c r="A24" s="27"/>
      <c r="B24" s="27"/>
      <c r="C24" s="29"/>
      <c r="D24" s="31"/>
      <c r="E24" s="31"/>
      <c r="F24" s="31"/>
      <c r="G24" s="31"/>
      <c r="H24" s="31"/>
      <c r="I24" s="31"/>
    </row>
    <row r="25" spans="1:37">
      <c r="A25" s="27"/>
      <c r="B25" s="27"/>
      <c r="C25" s="29"/>
      <c r="D25" s="36"/>
      <c r="E25" s="31"/>
      <c r="F25" s="31"/>
      <c r="G25" s="31"/>
      <c r="H25" s="31"/>
      <c r="I25" s="31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spans="1:37">
      <c r="A26" s="27"/>
      <c r="B26" s="27"/>
      <c r="C26" s="40" t="s">
        <v>45</v>
      </c>
      <c r="D26" s="36"/>
      <c r="E26" s="31"/>
      <c r="F26" s="31"/>
      <c r="G26" s="31"/>
      <c r="H26" s="31"/>
      <c r="I26" s="31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1:37">
      <c r="A27" s="27"/>
      <c r="B27" s="27"/>
      <c r="C27" s="29"/>
      <c r="D27" s="31"/>
      <c r="E27" s="31"/>
      <c r="F27" s="31"/>
      <c r="G27" s="31"/>
      <c r="H27" s="31"/>
      <c r="I27" s="31"/>
    </row>
    <row r="28" spans="1:37">
      <c r="A28" s="27"/>
      <c r="B28" s="27"/>
      <c r="C28" s="29"/>
      <c r="D28" s="31"/>
      <c r="E28" s="31"/>
      <c r="F28" s="31"/>
      <c r="G28" s="31"/>
      <c r="H28" s="31"/>
      <c r="I28" s="31"/>
    </row>
    <row r="29" spans="1:37">
      <c r="A29" s="27"/>
      <c r="B29" s="27"/>
      <c r="C29" s="29"/>
      <c r="D29" s="31"/>
      <c r="E29" s="31"/>
      <c r="F29" s="31"/>
      <c r="G29" s="31"/>
      <c r="H29" s="31"/>
      <c r="I29" s="31"/>
    </row>
  </sheetData>
  <sheetProtection password="8E1E" sheet="1" objects="1" scenarios="1"/>
  <mergeCells count="2">
    <mergeCell ref="F3:I3"/>
    <mergeCell ref="F4:I4"/>
  </mergeCells>
  <pageMargins left="0.7" right="0.7" top="0.75" bottom="0.75" header="0.3" footer="0.3"/>
  <pageSetup scale="7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29"/>
  <sheetViews>
    <sheetView workbookViewId="0">
      <selection activeCell="D12" sqref="D12:G14"/>
    </sheetView>
  </sheetViews>
  <sheetFormatPr defaultColWidth="10.7109375" defaultRowHeight="15.75"/>
  <cols>
    <col min="1" max="1" width="4.28515625" style="6" customWidth="1"/>
    <col min="2" max="2" width="64.7109375" style="6" customWidth="1"/>
    <col min="3" max="3" width="29.85546875" style="25" customWidth="1"/>
    <col min="4" max="4" width="19.7109375" style="26" customWidth="1"/>
    <col min="5" max="7" width="18.7109375" style="26" customWidth="1"/>
    <col min="8" max="9" width="18.140625" style="26" customWidth="1"/>
    <col min="10" max="37" width="10.7109375" style="15"/>
    <col min="38" max="16384" width="10.7109375" style="6"/>
  </cols>
  <sheetData>
    <row r="1" spans="1:37">
      <c r="A1" s="3"/>
      <c r="B1" s="3"/>
      <c r="C1" s="4"/>
      <c r="D1" s="5"/>
      <c r="E1" s="5"/>
      <c r="F1" s="5"/>
      <c r="G1" s="5"/>
      <c r="H1" s="5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 spans="1:37">
      <c r="A2" s="3"/>
      <c r="B2" s="3"/>
      <c r="C2" s="4"/>
      <c r="D2" s="5"/>
      <c r="E2" s="4" t="s">
        <v>24</v>
      </c>
      <c r="F2" s="28" t="str">
        <f>'LD50'!F2</f>
        <v>827-2251</v>
      </c>
      <c r="G2" s="3"/>
      <c r="H2" s="5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 spans="1:37" ht="26.25">
      <c r="A3" s="3"/>
      <c r="B3" s="8" t="s">
        <v>60</v>
      </c>
      <c r="C3" s="4"/>
      <c r="D3" s="5"/>
      <c r="E3" s="5"/>
      <c r="F3" s="9"/>
      <c r="G3" s="9"/>
      <c r="H3" s="9"/>
      <c r="I3" s="9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spans="1:37">
      <c r="A4" s="3"/>
      <c r="B4" s="3"/>
      <c r="C4" s="4"/>
      <c r="D4" s="10"/>
      <c r="E4" s="5"/>
      <c r="F4" s="9"/>
      <c r="G4" s="9"/>
      <c r="H4" s="9"/>
      <c r="I4" s="9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 spans="1:37">
      <c r="A5" s="3"/>
      <c r="B5" s="27" t="s">
        <v>35</v>
      </c>
      <c r="C5" s="29" t="s">
        <v>36</v>
      </c>
      <c r="D5" s="10"/>
      <c r="E5" s="5"/>
      <c r="F5" s="9"/>
      <c r="G5" s="9"/>
      <c r="H5" s="9"/>
      <c r="I5" s="9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spans="1:37">
      <c r="A6" s="3"/>
      <c r="B6" s="27" t="s">
        <v>29</v>
      </c>
      <c r="C6" s="29" t="s">
        <v>7</v>
      </c>
      <c r="D6" s="11"/>
      <c r="E6" s="5"/>
      <c r="F6" s="5"/>
      <c r="G6" s="5"/>
      <c r="H6" s="5"/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 spans="1:37">
      <c r="A7" s="3"/>
      <c r="B7" s="27" t="s">
        <v>30</v>
      </c>
      <c r="C7" s="29" t="s">
        <v>8</v>
      </c>
      <c r="D7" s="12"/>
      <c r="E7" s="5"/>
      <c r="F7" s="5"/>
      <c r="G7" s="5"/>
      <c r="H7" s="5"/>
      <c r="I7" s="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 spans="1:37">
      <c r="A8" s="3"/>
      <c r="B8" s="27" t="s">
        <v>37</v>
      </c>
      <c r="C8" s="29" t="s">
        <v>57</v>
      </c>
      <c r="D8" s="11"/>
      <c r="E8" s="5"/>
      <c r="F8" s="5"/>
      <c r="G8" s="5"/>
      <c r="H8" s="5"/>
      <c r="I8" s="5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 spans="1:37">
      <c r="A9" s="3"/>
      <c r="B9" s="27" t="s">
        <v>55</v>
      </c>
      <c r="C9" s="29" t="s">
        <v>54</v>
      </c>
      <c r="D9" s="49"/>
      <c r="E9" s="5"/>
      <c r="F9" s="5"/>
      <c r="G9" s="5"/>
      <c r="H9" s="5"/>
      <c r="I9" s="5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 spans="1:37">
      <c r="A10" s="3"/>
      <c r="B10" s="27" t="s">
        <v>56</v>
      </c>
      <c r="C10" s="29" t="s">
        <v>58</v>
      </c>
      <c r="D10" s="49"/>
      <c r="E10" s="5"/>
      <c r="F10" s="5"/>
      <c r="G10" s="5"/>
      <c r="H10" s="5"/>
      <c r="I10" s="5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</row>
    <row r="11" spans="1:37" s="15" customFormat="1">
      <c r="A11" s="13"/>
      <c r="B11" s="66" t="s">
        <v>2</v>
      </c>
      <c r="C11" s="60"/>
      <c r="D11" s="67">
        <f>D6</f>
        <v>0</v>
      </c>
      <c r="E11" s="67" t="e">
        <f>D11/D7</f>
        <v>#DIV/0!</v>
      </c>
      <c r="F11" s="67" t="e">
        <f>E11/D7</f>
        <v>#DIV/0!</v>
      </c>
      <c r="G11" s="67" t="e">
        <f>F11/D7</f>
        <v>#DIV/0!</v>
      </c>
      <c r="H11" s="67" t="e">
        <f>G11/D7</f>
        <v>#DIV/0!</v>
      </c>
      <c r="I11" s="67" t="e">
        <f>H11/D7</f>
        <v>#DIV/0!</v>
      </c>
    </row>
    <row r="12" spans="1:37" s="15" customFormat="1">
      <c r="A12" s="13"/>
      <c r="B12" s="58" t="s">
        <v>49</v>
      </c>
      <c r="C12" s="40" t="s">
        <v>50</v>
      </c>
      <c r="D12" s="61"/>
      <c r="E12" s="61"/>
      <c r="F12" s="61"/>
      <c r="G12" s="61"/>
      <c r="H12" s="61"/>
      <c r="I12" s="61"/>
    </row>
    <row r="13" spans="1:37" s="15" customFormat="1">
      <c r="A13" s="13"/>
      <c r="B13" s="58" t="s">
        <v>62</v>
      </c>
      <c r="C13" s="40" t="s">
        <v>50</v>
      </c>
      <c r="D13" s="10"/>
      <c r="E13" s="10"/>
      <c r="F13" s="10"/>
      <c r="G13" s="10"/>
      <c r="H13" s="10"/>
      <c r="I13" s="10"/>
    </row>
    <row r="14" spans="1:37" s="15" customFormat="1">
      <c r="A14" s="13"/>
      <c r="B14" s="58" t="s">
        <v>63</v>
      </c>
      <c r="C14" s="40" t="s">
        <v>50</v>
      </c>
      <c r="D14" s="61"/>
      <c r="E14" s="61"/>
      <c r="F14" s="61"/>
      <c r="G14" s="61"/>
      <c r="H14" s="61"/>
      <c r="I14" s="61"/>
    </row>
    <row r="15" spans="1:37" s="15" customFormat="1">
      <c r="A15" s="58"/>
      <c r="B15" s="58" t="s">
        <v>53</v>
      </c>
      <c r="C15" s="40" t="s">
        <v>51</v>
      </c>
      <c r="D15" s="63">
        <f t="shared" ref="D15:I15" si="0">SUM(D12:D14)</f>
        <v>0</v>
      </c>
      <c r="E15" s="63">
        <f t="shared" si="0"/>
        <v>0</v>
      </c>
      <c r="F15" s="63">
        <f t="shared" si="0"/>
        <v>0</v>
      </c>
      <c r="G15" s="63">
        <f t="shared" si="0"/>
        <v>0</v>
      </c>
      <c r="H15" s="63">
        <f t="shared" si="0"/>
        <v>0</v>
      </c>
      <c r="I15" s="63">
        <f t="shared" si="0"/>
        <v>0</v>
      </c>
    </row>
    <row r="16" spans="1:37" s="62" customFormat="1">
      <c r="A16" s="33"/>
      <c r="B16" s="33"/>
      <c r="C16" s="34" t="s">
        <v>52</v>
      </c>
      <c r="D16" s="64">
        <f t="shared" ref="D16:I16" si="1">D15/3</f>
        <v>0</v>
      </c>
      <c r="E16" s="65">
        <f t="shared" si="1"/>
        <v>0</v>
      </c>
      <c r="F16" s="65">
        <f>F15/3</f>
        <v>0</v>
      </c>
      <c r="G16" s="65">
        <f t="shared" si="1"/>
        <v>0</v>
      </c>
      <c r="H16" s="65">
        <f t="shared" si="1"/>
        <v>0</v>
      </c>
      <c r="I16" s="65">
        <f t="shared" si="1"/>
        <v>0</v>
      </c>
    </row>
    <row r="17" spans="1:37">
      <c r="A17" s="27"/>
      <c r="B17" s="27" t="s">
        <v>59</v>
      </c>
      <c r="C17" s="29" t="s">
        <v>61</v>
      </c>
      <c r="D17" s="51" t="str">
        <f>IF(D16&gt;30,IF(D16&lt;300,D16*(1/D11)*(1/D9)*D8*D10," ")," ")</f>
        <v xml:space="preserve"> </v>
      </c>
      <c r="E17" s="30" t="str">
        <f>IF(E16&gt;30,IF(E16&lt;300,E16*(1/E11)*(1/D9)*D8*D10," ")," ")</f>
        <v xml:space="preserve"> </v>
      </c>
      <c r="F17" s="30" t="str">
        <f>IF(F16&gt;30,IF(F16&lt;300,F16*(1/F11)*(1/D9)*D8*D10," ")," ")</f>
        <v xml:space="preserve"> </v>
      </c>
      <c r="G17" s="30" t="str">
        <f>IF(G16&gt;30,IF(G16&lt;300,G16*(1/G11)*(1/D9)*D8*D10," ")," ")</f>
        <v xml:space="preserve"> </v>
      </c>
      <c r="H17" s="30" t="str">
        <f>IF(H16&gt;30,IF(H16&lt;300,H16*(1/H11)*(1/D9)*D8*D10," ")," ")</f>
        <v xml:space="preserve"> </v>
      </c>
      <c r="I17" s="30" t="str">
        <f>IF(I16&gt;30,IF(I16&lt;300,I16*(1/I11)*(1/D9)*D8*D10," ")," ")</f>
        <v xml:space="preserve"> 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</row>
    <row r="18" spans="1:37">
      <c r="A18" s="27"/>
      <c r="B18" s="27"/>
      <c r="C18" s="29" t="s">
        <v>71</v>
      </c>
      <c r="D18" s="36" t="str">
        <f>D17</f>
        <v xml:space="preserve"> </v>
      </c>
      <c r="E18" s="36"/>
      <c r="F18" s="36"/>
      <c r="G18" s="36"/>
      <c r="H18" s="36"/>
      <c r="I18" s="3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 spans="1:37">
      <c r="A19" s="27"/>
      <c r="B19" s="27"/>
      <c r="C19" s="29"/>
      <c r="D19" s="30"/>
      <c r="E19" s="30"/>
      <c r="F19" s="30"/>
      <c r="G19" s="30"/>
      <c r="H19" s="30"/>
      <c r="I19" s="30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 spans="1:37">
      <c r="A20" s="3"/>
      <c r="B20" s="21"/>
      <c r="C20" s="4"/>
      <c r="D20" s="5"/>
      <c r="E20" s="5"/>
      <c r="F20" s="5"/>
      <c r="G20" s="5"/>
      <c r="H20" s="5"/>
      <c r="I20" s="5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spans="1:37">
      <c r="A21" s="3"/>
      <c r="B21" s="22"/>
      <c r="C21" s="4"/>
      <c r="D21" s="5"/>
      <c r="E21" s="5"/>
      <c r="F21" s="5"/>
      <c r="G21" s="5"/>
      <c r="H21" s="5"/>
      <c r="I21" s="5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 spans="1:37">
      <c r="A22" s="3"/>
      <c r="B22" s="3"/>
      <c r="C22" s="4"/>
      <c r="D22" s="5"/>
      <c r="E22" s="5"/>
      <c r="F22" s="5"/>
      <c r="G22" s="5"/>
      <c r="H22" s="5"/>
      <c r="I22" s="5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 spans="1:37">
      <c r="A23" s="3"/>
      <c r="B23" s="3"/>
      <c r="C23" s="23"/>
      <c r="D23" s="24"/>
      <c r="E23" s="24"/>
      <c r="F23" s="24"/>
      <c r="G23" s="24"/>
      <c r="H23" s="24"/>
      <c r="I23" s="24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</row>
    <row r="24" spans="1:37">
      <c r="A24" s="3"/>
      <c r="B24" s="3"/>
      <c r="C24" s="23"/>
      <c r="D24" s="24"/>
      <c r="E24" s="24"/>
      <c r="F24" s="24"/>
      <c r="G24" s="24"/>
      <c r="H24" s="24"/>
      <c r="I24" s="24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 spans="1:37">
      <c r="A25" s="3"/>
      <c r="B25" s="3"/>
      <c r="C25" s="4"/>
      <c r="D25" s="5"/>
      <c r="E25" s="5"/>
      <c r="F25" s="5"/>
      <c r="G25" s="5"/>
      <c r="H25" s="5"/>
      <c r="I25" s="5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</row>
    <row r="26" spans="1:37">
      <c r="A26" s="3"/>
      <c r="B26" s="3"/>
      <c r="C26" s="4"/>
      <c r="D26" s="49"/>
      <c r="E26" s="5"/>
      <c r="F26" s="5"/>
      <c r="G26" s="5"/>
      <c r="H26" s="5"/>
      <c r="I26" s="5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 spans="1:37">
      <c r="A27" s="3"/>
      <c r="B27" s="3"/>
      <c r="C27" s="4"/>
      <c r="D27" s="49"/>
      <c r="E27" s="5"/>
      <c r="F27" s="5"/>
      <c r="G27" s="5"/>
      <c r="H27" s="5"/>
      <c r="I27" s="5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 spans="1:37">
      <c r="A28" s="3"/>
      <c r="B28" s="3"/>
      <c r="C28" s="4"/>
      <c r="D28" s="49"/>
      <c r="E28" s="5"/>
      <c r="F28" s="5"/>
      <c r="G28" s="5"/>
      <c r="H28" s="5"/>
      <c r="I28" s="5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 spans="1:37">
      <c r="A29" s="3"/>
      <c r="B29" s="3"/>
      <c r="C29" s="4"/>
      <c r="D29" s="49"/>
      <c r="E29" s="5"/>
      <c r="F29" s="5"/>
      <c r="G29" s="5"/>
      <c r="H29" s="5"/>
      <c r="I29" s="5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</row>
  </sheetData>
  <sheetProtection password="8E1E" sheet="1" objects="1" scenarios="1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26"/>
  <sheetViews>
    <sheetView workbookViewId="0">
      <selection activeCell="F9" sqref="F9"/>
    </sheetView>
  </sheetViews>
  <sheetFormatPr defaultRowHeight="14.25"/>
  <sheetData>
    <row r="2" spans="2:9">
      <c r="B2" s="69" t="s">
        <v>72</v>
      </c>
      <c r="C2" s="69" t="s">
        <v>73</v>
      </c>
      <c r="D2" s="69"/>
      <c r="E2" s="70" t="s">
        <v>76</v>
      </c>
      <c r="G2" s="69"/>
      <c r="H2" s="69"/>
      <c r="I2" s="70" t="s">
        <v>76</v>
      </c>
    </row>
    <row r="3" spans="2:9">
      <c r="B3" s="69" t="s">
        <v>74</v>
      </c>
      <c r="C3" s="71" t="s">
        <v>78</v>
      </c>
      <c r="D3" s="69"/>
      <c r="E3" s="71" t="s">
        <v>76</v>
      </c>
      <c r="G3" s="71" t="s">
        <v>79</v>
      </c>
      <c r="H3" s="69"/>
      <c r="I3" s="71" t="s">
        <v>76</v>
      </c>
    </row>
    <row r="4" spans="2:9">
      <c r="B4" s="69" t="s">
        <v>75</v>
      </c>
      <c r="C4" s="69">
        <v>5.25</v>
      </c>
      <c r="D4" s="69"/>
      <c r="E4" s="71" t="s">
        <v>77</v>
      </c>
      <c r="G4" s="69">
        <v>5.5</v>
      </c>
      <c r="H4" s="69"/>
      <c r="I4" s="71" t="s">
        <v>80</v>
      </c>
    </row>
    <row r="5" spans="2:9">
      <c r="G5" s="69"/>
      <c r="H5" s="69"/>
      <c r="I5" s="69"/>
    </row>
    <row r="8" spans="2:9">
      <c r="B8" s="68"/>
    </row>
    <row r="12" spans="2:9" s="2" customFormat="1">
      <c r="F12" s="2" t="s">
        <v>66</v>
      </c>
      <c r="G12" s="2" t="s">
        <v>67</v>
      </c>
      <c r="H12" s="2" t="s">
        <v>68</v>
      </c>
      <c r="I12" s="2" t="s">
        <v>69</v>
      </c>
    </row>
    <row r="13" spans="2:9">
      <c r="F13">
        <f>94.4-50</f>
        <v>44.400000000000006</v>
      </c>
      <c r="G13">
        <f>100-50</f>
        <v>50</v>
      </c>
      <c r="H13">
        <f>100-50</f>
        <v>50</v>
      </c>
      <c r="I13">
        <f>81.8-50</f>
        <v>31.799999999999997</v>
      </c>
    </row>
    <row r="14" spans="2:9">
      <c r="B14">
        <f>2.5*550</f>
        <v>1375</v>
      </c>
      <c r="F14">
        <f>94.4-31.8</f>
        <v>62.600000000000009</v>
      </c>
      <c r="G14">
        <f>100-45</f>
        <v>55</v>
      </c>
      <c r="H14">
        <f>100-45</f>
        <v>55</v>
      </c>
      <c r="I14">
        <f>81.8-L26</f>
        <v>77.634999999999991</v>
      </c>
    </row>
    <row r="15" spans="2:9">
      <c r="B15">
        <f>B14/100</f>
        <v>13.75</v>
      </c>
      <c r="F15">
        <f>F13/F14</f>
        <v>0.70926517571884984</v>
      </c>
      <c r="G15">
        <f>G13/G14</f>
        <v>0.90909090909090906</v>
      </c>
      <c r="H15">
        <f t="shared" ref="H15:I15" si="0">H13/H14</f>
        <v>0.90909090909090906</v>
      </c>
      <c r="I15">
        <f t="shared" si="0"/>
        <v>0.40960906807496622</v>
      </c>
    </row>
    <row r="16" spans="2:9">
      <c r="B16">
        <f>15*6</f>
        <v>90</v>
      </c>
      <c r="F16">
        <f>F15*(LOG(5))</f>
        <v>0.49575508294759163</v>
      </c>
      <c r="G16">
        <f>G15*(LOG(5))</f>
        <v>0.63542727666910803</v>
      </c>
      <c r="H16">
        <f t="shared" ref="H16:I16" si="1">H15*(LOG(5))</f>
        <v>0.63542727666910803</v>
      </c>
      <c r="I16">
        <f t="shared" si="1"/>
        <v>0.2863044520884318</v>
      </c>
    </row>
    <row r="17" spans="2:12">
      <c r="B17">
        <f>B16/13.75</f>
        <v>6.5454545454545459</v>
      </c>
      <c r="F17">
        <f>10^F16</f>
        <v>3.1315192299361039</v>
      </c>
      <c r="G17">
        <f>10^G16</f>
        <v>4.3194383185129528</v>
      </c>
      <c r="H17">
        <f t="shared" ref="H17:I17" si="2">10^H16</f>
        <v>4.3194383185129528</v>
      </c>
      <c r="I17">
        <f t="shared" si="2"/>
        <v>1.9333231534947493</v>
      </c>
    </row>
    <row r="18" spans="2:12">
      <c r="F18">
        <f>F17*5</f>
        <v>15.657596149680518</v>
      </c>
      <c r="G18">
        <f>G17*5</f>
        <v>21.597191592564762</v>
      </c>
      <c r="H18">
        <f t="shared" ref="H18:I18" si="3">H17*5</f>
        <v>21.597191592564762</v>
      </c>
      <c r="I18">
        <f t="shared" si="3"/>
        <v>9.666615767473747</v>
      </c>
    </row>
    <row r="19" spans="2:12">
      <c r="B19">
        <f>16+19+20</f>
        <v>55</v>
      </c>
      <c r="G19">
        <f>G18/F18</f>
        <v>1.3793427411273114</v>
      </c>
      <c r="H19">
        <f>H18/F18</f>
        <v>1.3793427411273114</v>
      </c>
      <c r="I19">
        <f>I18/F18</f>
        <v>0.61737546907358365</v>
      </c>
    </row>
    <row r="20" spans="2:12">
      <c r="B20">
        <f>B19/3</f>
        <v>18.333333333333332</v>
      </c>
    </row>
    <row r="24" spans="2:12">
      <c r="I24" t="s">
        <v>70</v>
      </c>
    </row>
    <row r="26" spans="2:12">
      <c r="G26">
        <f>750*2.5/100</f>
        <v>18.75</v>
      </c>
      <c r="L26">
        <f>8.33/2</f>
        <v>4.165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LD50</vt:lpstr>
      <vt:lpstr>PD50 Ref</vt:lpstr>
      <vt:lpstr>PD50 Serial</vt:lpstr>
      <vt:lpstr>PD50 Serial2</vt:lpstr>
      <vt:lpstr>PD50 Serial3</vt:lpstr>
      <vt:lpstr>CFU per dose</vt:lpstr>
      <vt:lpstr>Sheet1</vt:lpstr>
      <vt:lpstr>'PD50 Ref'!Print_Area</vt:lpstr>
      <vt:lpstr>'PD50 Serial'!Print_Area</vt:lpstr>
      <vt:lpstr>'PD50 Serial2'!Print_Area</vt:lpstr>
      <vt:lpstr>'PD50 Serial3'!Print_Area</vt:lpstr>
    </vt:vector>
  </TitlesOfParts>
  <Company>The Rockefeller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Lindenbach</dc:creator>
  <cp:lastModifiedBy>Kent, Thomas F - APHIS</cp:lastModifiedBy>
  <cp:lastPrinted>2020-08-04T17:09:19Z</cp:lastPrinted>
  <dcterms:created xsi:type="dcterms:W3CDTF">2004-10-22T20:13:32Z</dcterms:created>
  <dcterms:modified xsi:type="dcterms:W3CDTF">2021-11-18T21:27:42Z</dcterms:modified>
</cp:coreProperties>
</file>